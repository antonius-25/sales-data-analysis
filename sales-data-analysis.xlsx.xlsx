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drawings/drawing2.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hidePivotFieldList="1"/>
  <mc:AlternateContent xmlns:mc="http://schemas.openxmlformats.org/markup-compatibility/2006">
    <mc:Choice Requires="x15">
      <x15ac:absPath xmlns:x15ac="http://schemas.microsoft.com/office/spreadsheetml/2010/11/ac" url="D:\port\"/>
    </mc:Choice>
  </mc:AlternateContent>
  <xr:revisionPtr revIDLastSave="0" documentId="13_ncr:1_{42A5B73F-470D-453F-9C06-9CE63D61A464}" xr6:coauthVersionLast="47" xr6:coauthVersionMax="47" xr10:uidLastSave="{00000000-0000-0000-0000-000000000000}"/>
  <bookViews>
    <workbookView xWindow="-120" yWindow="-120" windowWidth="19440" windowHeight="15000" tabRatio="933" activeTab="2" xr2:uid="{00000000-000D-0000-FFFF-FFFF00000000}"/>
  </bookViews>
  <sheets>
    <sheet name="Clean_Data" sheetId="1" r:id="rId1"/>
    <sheet name="Analysis" sheetId="7" r:id="rId2"/>
    <sheet name="dasboard" sheetId="8" r:id="rId3"/>
  </sheets>
  <definedNames>
    <definedName name="_xlcn.WorksheetConnection_project.xlsxTable11" hidden="1">Table1[]</definedName>
    <definedName name="Slicer_Country">#N/A</definedName>
    <definedName name="Slicer_Description">#N/A</definedName>
  </definedNames>
  <calcPr calcId="191029"/>
  <pivotCaches>
    <pivotCache cacheId="474" r:id="rId4"/>
    <pivotCache cacheId="469" r:id="rId5"/>
    <pivotCache cacheId="467" r:id="rId6"/>
    <pivotCache cacheId="465" r:id="rId7"/>
    <pivotCache cacheId="472" r:id="rId8"/>
  </pivotCaches>
  <extLst>
    <ext xmlns:x14="http://schemas.microsoft.com/office/spreadsheetml/2009/9/main" uri="{876F7934-8845-4945-9796-88D515C7AA90}">
      <x14:pivotCaches>
        <pivotCache cacheId="368" r:id="rId9"/>
      </x14:pivotCaches>
    </ext>
    <ext xmlns:x14="http://schemas.microsoft.com/office/spreadsheetml/2009/9/main" uri="{BBE1A952-AA13-448e-AADC-164F8A28A991}">
      <x14:slicerCaches>
        <x14:slicerCache r:id="rId10"/>
        <x14:slicerCache r:id="rId1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1" name="Table1" connection="WorksheetConnection_project.xlsx!Table1"/>
        </x15:modelTables>
        <x15:extLst>
          <ext xmlns:x16="http://schemas.microsoft.com/office/spreadsheetml/2014/11/main" uri="{9835A34E-60A6-4A7C-AAB8-D5F71C897F49}">
            <x16:modelTimeGroupings>
              <x16:modelTimeGrouping tableName="Table1" columnName="InvoiceDate" columnId="InvoiceDate">
                <x16:calculatedTimeColumn columnName="InvoiceDate (Hour)" columnId="InvoiceDate (Hour)" contentType="hours" isSelected="1"/>
                <x16:calculatedTimeColumn columnName="InvoiceDate (Minute)" columnId="InvoiceDate (Minute)" contentType="minute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H307" i="1" l="1"/>
  <c r="I307"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G242" i="1"/>
  <c r="G243" i="1"/>
  <c r="G244" i="1"/>
  <c r="G245" i="1"/>
  <c r="G246" i="1"/>
  <c r="G247" i="1"/>
  <c r="G248" i="1"/>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75" i="1"/>
  <c r="G276" i="1"/>
  <c r="G277" i="1"/>
  <c r="G278" i="1"/>
  <c r="G279" i="1"/>
  <c r="G280" i="1"/>
  <c r="G281" i="1"/>
  <c r="G282" i="1"/>
  <c r="G283" i="1"/>
  <c r="G284" i="1"/>
  <c r="G285" i="1"/>
  <c r="G286" i="1"/>
  <c r="G287" i="1"/>
  <c r="G288" i="1"/>
  <c r="G289" i="1"/>
  <c r="G290" i="1"/>
  <c r="G291" i="1"/>
  <c r="G292" i="1"/>
  <c r="G293" i="1"/>
  <c r="G294" i="1"/>
  <c r="G295" i="1"/>
  <c r="G296" i="1"/>
  <c r="G297" i="1"/>
  <c r="G298" i="1"/>
  <c r="G299" i="1"/>
  <c r="G300" i="1"/>
  <c r="G301" i="1"/>
  <c r="G302" i="1"/>
  <c r="G303" i="1"/>
  <c r="G304" i="1"/>
  <c r="G305" i="1"/>
  <c r="G306"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614FCAA-0A21-4B25-82D3-7B7582ED1D8C}"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C2608EEE-1662-4A8F-8262-913677A09722}" name="WorksheetConnection_project.xlsx!Table1" type="102" refreshedVersion="8" minRefreshableVersion="5">
    <extLst>
      <ext xmlns:x15="http://schemas.microsoft.com/office/spreadsheetml/2010/11/main" uri="{DE250136-89BD-433C-8126-D09CA5730AF9}">
        <x15:connection id="Table1" autoDelete="1">
          <x15:rangePr sourceName="_xlcn.WorksheetConnection_project.xlsxTable11"/>
        </x15:connection>
      </ext>
    </extLst>
  </connection>
</connections>
</file>

<file path=xl/sharedStrings.xml><?xml version="1.0" encoding="utf-8"?>
<sst xmlns="http://schemas.openxmlformats.org/spreadsheetml/2006/main" count="707" uniqueCount="264">
  <si>
    <t>InvoiceNo</t>
  </si>
  <si>
    <t>StockCode</t>
  </si>
  <si>
    <t>Description</t>
  </si>
  <si>
    <t>Quantity</t>
  </si>
  <si>
    <t>InvoiceDate</t>
  </si>
  <si>
    <t>UnitPrice</t>
  </si>
  <si>
    <t>CustomerID</t>
  </si>
  <si>
    <t>Country</t>
  </si>
  <si>
    <t>85123A</t>
  </si>
  <si>
    <t>WHITE HANGING HEART T-LIGHT HOLDER</t>
  </si>
  <si>
    <t>United Kingdom</t>
  </si>
  <si>
    <t>WHITE METAL LANTERN</t>
  </si>
  <si>
    <t>84406B</t>
  </si>
  <si>
    <t>CREAM CUPID HEARTS COAT HANGER</t>
  </si>
  <si>
    <t>84029G</t>
  </si>
  <si>
    <t>KNITTED UNION FLAG HOT WATER BOTTLE</t>
  </si>
  <si>
    <t>84029E</t>
  </si>
  <si>
    <t>RED WOOLLY HOTTIE WHITE HEART.</t>
  </si>
  <si>
    <t>SET 7 BABUSHKA NESTING BOXES</t>
  </si>
  <si>
    <t>GLASS STAR FROSTED T-LIGHT HOLDER</t>
  </si>
  <si>
    <t>HAND WARMER UNION JACK</t>
  </si>
  <si>
    <t>HAND WARMER RED POLKA DOT</t>
  </si>
  <si>
    <t>ASSORTED COLOUR BIRD ORNAMENT</t>
  </si>
  <si>
    <t xml:space="preserve">POPPY'S PLAYHOUSE BEDROOM </t>
  </si>
  <si>
    <t>POPPY'S PLAYHOUSE KITCHEN</t>
  </si>
  <si>
    <t>FELTCRAFT PRINCESS CHARLOTTE DOLL</t>
  </si>
  <si>
    <t xml:space="preserve">IVORY KNITTED MUG COSY </t>
  </si>
  <si>
    <t>BOX OF 6 ASSORTED COLOUR TEASPOONS</t>
  </si>
  <si>
    <t xml:space="preserve">BOX OF VINTAGE JIGSAW BLOCKS </t>
  </si>
  <si>
    <t>BOX OF VINTAGE ALPHABET BLOCKS</t>
  </si>
  <si>
    <t>HOME BUILDING BLOCK WORD</t>
  </si>
  <si>
    <t>LOVE BUILDING BLOCK WORD</t>
  </si>
  <si>
    <t>RECIPE BOX WITH METAL HEART</t>
  </si>
  <si>
    <t>DOORMAT NEW ENGLAND</t>
  </si>
  <si>
    <t>JAM MAKING SET WITH JARS</t>
  </si>
  <si>
    <t>RED COAT RACK PARIS FASHION</t>
  </si>
  <si>
    <t>YELLOW COAT RACK PARIS FASHION</t>
  </si>
  <si>
    <t>BLUE COAT RACK PARIS FASHION</t>
  </si>
  <si>
    <t>BATH BUILDING BLOCK WORD</t>
  </si>
  <si>
    <t>ALARM CLOCK BAKELIKE PINK</t>
  </si>
  <si>
    <t>France</t>
  </si>
  <si>
    <t xml:space="preserve">ALARM CLOCK BAKELIKE RED </t>
  </si>
  <si>
    <t>ALARM CLOCK BAKELIKE GREEN</t>
  </si>
  <si>
    <t>PANDA AND BUNNIES STICKER SHEET</t>
  </si>
  <si>
    <t xml:space="preserve">STARS GIFT TAPE </t>
  </si>
  <si>
    <t xml:space="preserve">INFLATABLE POLITICAL GLOBE </t>
  </si>
  <si>
    <t xml:space="preserve">VINTAGE HEADS AND TAILS CARD GAME </t>
  </si>
  <si>
    <t xml:space="preserve">SET/2 RED RETROSPOT TEA TOWELS </t>
  </si>
  <si>
    <t xml:space="preserve">ROUND SNACK BOXES SET OF4 WOODLAND </t>
  </si>
  <si>
    <t xml:space="preserve">SPACEBOY LUNCH BOX </t>
  </si>
  <si>
    <t>LUNCH BOX I LOVE LONDON</t>
  </si>
  <si>
    <t xml:space="preserve">CIRCUS PARADE LUNCH BOX </t>
  </si>
  <si>
    <t>CHARLOTTE BAG DOLLY GIRL DESIGN</t>
  </si>
  <si>
    <t>RED TOADSTOOL LED NIGHT LIGHT</t>
  </si>
  <si>
    <t xml:space="preserve"> SET 2 TEA TOWELS I LOVE LONDON </t>
  </si>
  <si>
    <t>VINTAGE SEASIDE JIGSAW PUZZLES</t>
  </si>
  <si>
    <t xml:space="preserve">MINI JIGSAW CIRCUS PARADE </t>
  </si>
  <si>
    <t>MINI JIGSAW SPACEBOY</t>
  </si>
  <si>
    <t xml:space="preserve">MINI PAINT SET VINTAGE </t>
  </si>
  <si>
    <t>POST</t>
  </si>
  <si>
    <t>POSTAGE</t>
  </si>
  <si>
    <t xml:space="preserve">PAPER CHAIN KIT 50'S CHRISTMAS </t>
  </si>
  <si>
    <t>EDWARDIAN PARASOL RED</t>
  </si>
  <si>
    <t>RETRO COFFEE MUGS ASSORTED</t>
  </si>
  <si>
    <t>SAVE THE PLANET MUG</t>
  </si>
  <si>
    <t>VINTAGE BILLBOARD DRINK ME MUG</t>
  </si>
  <si>
    <t>VINTAGE BILLBOARD LOVE/HATE MUG</t>
  </si>
  <si>
    <t>WOOD 2 DRAWER CABINET WHITE FINISH</t>
  </si>
  <si>
    <t>WOOD S/3 CABINET ANT WHITE FINISH</t>
  </si>
  <si>
    <t>WOODEN PICTURE FRAME WHITE FINISH</t>
  </si>
  <si>
    <t>82494L</t>
  </si>
  <si>
    <t xml:space="preserve">WOODEN FRAME ANTIQUE WHITE </t>
  </si>
  <si>
    <t>VICTORIAN SEWING BOX LARGE</t>
  </si>
  <si>
    <t>HOT WATER BOTTLE TEA AND SYMPATHY</t>
  </si>
  <si>
    <t>RED HANGING HEART T-LIGHT HOLDER</t>
  </si>
  <si>
    <t>JUMBO BAG PINK POLKADOT</t>
  </si>
  <si>
    <t>85099C</t>
  </si>
  <si>
    <t>JUMBO  BAG BAROQUE BLACK WHITE</t>
  </si>
  <si>
    <t>JUMBO BAG CHARLIE AND LOLA TOYS</t>
  </si>
  <si>
    <t>STRAWBERRY CHARLOTTE BAG</t>
  </si>
  <si>
    <t>84997B</t>
  </si>
  <si>
    <t>RED 3 PIECE RETROSPOT CUTLERY SET</t>
  </si>
  <si>
    <t>84997C</t>
  </si>
  <si>
    <t>BLUE 3 PIECE POLKADOT CUTLERY SET</t>
  </si>
  <si>
    <t>SET/6 RED SPOTTY PAPER PLATES</t>
  </si>
  <si>
    <t>LUNCH BAG RED RETROSPOT</t>
  </si>
  <si>
    <t>STRAWBERRY LUNCH BOX WITH CUTLERY</t>
  </si>
  <si>
    <t xml:space="preserve">LUNCH BOX WITH CUTLERY RETROSPOT </t>
  </si>
  <si>
    <t>PACK OF 72 RETROSPOT CAKE CASES</t>
  </si>
  <si>
    <t>PACK OF 60 DINOSAUR CAKE CASES</t>
  </si>
  <si>
    <t>PACK OF 60 PINK PAISLEY CAKE CASES</t>
  </si>
  <si>
    <t>60 TEATIME FAIRY CAKE CASES</t>
  </si>
  <si>
    <t>84519A</t>
  </si>
  <si>
    <t>TOMATO CHARLIE+LOLA COASTER SET</t>
  </si>
  <si>
    <t>85183B</t>
  </si>
  <si>
    <t>CHARLIE &amp; LOLA WASTEPAPER BIN FLORA</t>
  </si>
  <si>
    <t>85071B</t>
  </si>
  <si>
    <t>RED CHARLIE+LOLA PERSONAL DOORSIGN</t>
  </si>
  <si>
    <t>JUMBO STORAGE BAG SUKI</t>
  </si>
  <si>
    <t>JUMBO BAG PINK VINTAGE PAISLEY</t>
  </si>
  <si>
    <t>JAM MAKING SET PRINTED</t>
  </si>
  <si>
    <t xml:space="preserve">RETROSPOT TEA SET CERAMIC 11 PC </t>
  </si>
  <si>
    <t>GIRLY PINK TOOL SET</t>
  </si>
  <si>
    <t>JUMBO SHOPPER VINTAGE RED PAISLEY</t>
  </si>
  <si>
    <t>AIRLINE LOUNGE,METAL SIGN</t>
  </si>
  <si>
    <t>WHITE SPOT RED CERAMIC DRAWER KNOB</t>
  </si>
  <si>
    <t>RED DRAWER KNOB ACRYLIC EDWARDIAN</t>
  </si>
  <si>
    <t>CLEAR DRAWER KNOB ACRYLIC EDWARDIAN</t>
  </si>
  <si>
    <t>PHOTO CLIP LINE</t>
  </si>
  <si>
    <t>FELT EGG COSY CHICKEN</t>
  </si>
  <si>
    <t xml:space="preserve">PIGGY BANK RETROSPOT </t>
  </si>
  <si>
    <t>SKULL SHOULDER BAG</t>
  </si>
  <si>
    <t xml:space="preserve">YOU'RE CONFUSING ME METAL SIGN </t>
  </si>
  <si>
    <t xml:space="preserve">COOK WITH WINE METAL SIGN </t>
  </si>
  <si>
    <t>GIN + TONIC DIET METAL SIGN</t>
  </si>
  <si>
    <t>37444A</t>
  </si>
  <si>
    <t>YELLOW BREAKFAST CUP AND SAUCER</t>
  </si>
  <si>
    <t>37444C</t>
  </si>
  <si>
    <t xml:space="preserve">PINK BREAKFAST CUP AND SAUCER </t>
  </si>
  <si>
    <t>PAPER CHAIN KIT RETROSPOT</t>
  </si>
  <si>
    <t>84971S</t>
  </si>
  <si>
    <t xml:space="preserve">SMALL HEART FLOWERS HOOK </t>
  </si>
  <si>
    <t>TEA TIME DES TEA COSY</t>
  </si>
  <si>
    <t xml:space="preserve">FELT EGG COSY WHITE RABBIT </t>
  </si>
  <si>
    <t>ZINC WILLIE WINKIE  CANDLE STICK</t>
  </si>
  <si>
    <t>CERAMIC CHERRY CAKE MONEY BANK</t>
  </si>
  <si>
    <t>RETROSPOT LARGE MILK JUG</t>
  </si>
  <si>
    <t>SET OF 6 FUNKY BEAKERS</t>
  </si>
  <si>
    <t>15056BL</t>
  </si>
  <si>
    <t>EDWARDIAN PARASOL BLACK</t>
  </si>
  <si>
    <t>15056N</t>
  </si>
  <si>
    <t>EDWARDIAN PARASOL NATURAL</t>
  </si>
  <si>
    <t>CERAMIC STRAWBERRY CAKE MONEY BANK</t>
  </si>
  <si>
    <t>BLUE OWL SOFT TOY</t>
  </si>
  <si>
    <t>BALLOON ART MAKE YOUR OWN FLOWERS</t>
  </si>
  <si>
    <t>GLASS CLOCHE SMALL</t>
  </si>
  <si>
    <t>GUMBALL MONOCHROME COAT RACK</t>
  </si>
  <si>
    <t>DOORMAT FANCY FONT HOME SWEET HOME</t>
  </si>
  <si>
    <t>C536379</t>
  </si>
  <si>
    <t>D</t>
  </si>
  <si>
    <t>Discount</t>
  </si>
  <si>
    <t>VINTAGE SNAKES &amp; LADDERS</t>
  </si>
  <si>
    <t>CHOCOLATE CALCULATOR</t>
  </si>
  <si>
    <t xml:space="preserve">RECYCLING BAG RETROSPOT </t>
  </si>
  <si>
    <t>TOY TIDY PINK POLKADOT</t>
  </si>
  <si>
    <t>ANTIQUE GLASS DRESSING TABLE POT</t>
  </si>
  <si>
    <t>IVORY GIANT GARDEN THERMOMETER</t>
  </si>
  <si>
    <t>3 TIER CAKE TIN GREEN AND CREAM</t>
  </si>
  <si>
    <t>3 TIER CAKE TIN RED AND CREAM</t>
  </si>
  <si>
    <t>SET 3 WICKER OVAL BASKETS W LIDS</t>
  </si>
  <si>
    <t>C536383</t>
  </si>
  <si>
    <t>35004C</t>
  </si>
  <si>
    <t>SET OF 3 COLOURED  FLYING DUCKS</t>
  </si>
  <si>
    <t>WOOD BLACK BOARD ANT WHITE FINISH</t>
  </si>
  <si>
    <t>COLOUR GLASS T-LIGHT HOLDER HANGING</t>
  </si>
  <si>
    <t>HANGING METAL HEART LANTERN</t>
  </si>
  <si>
    <t>HANGING MEDINA LANTERN SMALL</t>
  </si>
  <si>
    <t xml:space="preserve">NATURAL SLATE HEART CHALKBOARD </t>
  </si>
  <si>
    <t>HEART OF WICKER SMALL</t>
  </si>
  <si>
    <t>HEART OF WICKER LARGE</t>
  </si>
  <si>
    <t>WHITE LOVEBIRD LANTERN</t>
  </si>
  <si>
    <t>CLASSIC METAL BIRDCAGE PLANT HOLDER</t>
  </si>
  <si>
    <t>CREAM HEART CARD HOLDER</t>
  </si>
  <si>
    <t>ENAMEL FLOWER JUG CREAM</t>
  </si>
  <si>
    <t>ENAMEL FIRE BUCKET CREAM</t>
  </si>
  <si>
    <t>ENAMEL BREAD BIN CREAM</t>
  </si>
  <si>
    <t>JUMBO BAG DOLLY GIRL DESIGN</t>
  </si>
  <si>
    <t>85049A</t>
  </si>
  <si>
    <t>TRADITIONAL CHRISTMAS RIBBONS</t>
  </si>
  <si>
    <t xml:space="preserve">ORGANISER WOOD ANTIQUE WHITE </t>
  </si>
  <si>
    <t>LUNCH BAG DOLLY GIRL DESIGN</t>
  </si>
  <si>
    <t>WHITE WIRE EGG HOLDER</t>
  </si>
  <si>
    <t>85099B</t>
  </si>
  <si>
    <t>JUMBO BAG RED RETROSPOT</t>
  </si>
  <si>
    <t>CHILLI LIGHTS</t>
  </si>
  <si>
    <t>LIGHT GARLAND BUTTERFILES PINK</t>
  </si>
  <si>
    <t xml:space="preserve">WOODEN OWLS LIGHT GARLAND </t>
  </si>
  <si>
    <t>FAIRY TALE COTTAGE NIGHTLIGHT</t>
  </si>
  <si>
    <t>HOME SMALL WOOD LETTERS</t>
  </si>
  <si>
    <t>GINGHAM HEART  DOORSTOP RED</t>
  </si>
  <si>
    <t>FIVE HEART HANGING DECORATION</t>
  </si>
  <si>
    <t xml:space="preserve">ASSORTED BOTTLE TOP  MAGNETS </t>
  </si>
  <si>
    <t>FRIDGE MAGNETS US DINER ASSORTED</t>
  </si>
  <si>
    <t>HOMEMADE JAM SCENTED CANDLES</t>
  </si>
  <si>
    <t>FRIDGE MAGNETS LES ENFANTS ASSORTED</t>
  </si>
  <si>
    <t>ROSE CARAVAN DOORSTOP</t>
  </si>
  <si>
    <t>5 HOOK HANGER MAGIC TOADSTOOL</t>
  </si>
  <si>
    <t>CHRISTMAS LIGHTS 10 REINDEER</t>
  </si>
  <si>
    <t>Australia</t>
  </si>
  <si>
    <t>VINTAGE UNION JACK CUSHION COVER</t>
  </si>
  <si>
    <t>35004G</t>
  </si>
  <si>
    <t>SET OF 3 GOLD FLYING DUCKS</t>
  </si>
  <si>
    <t>85014B</t>
  </si>
  <si>
    <t>RED RETROSPOT UMBRELLA</t>
  </si>
  <si>
    <t>85014A</t>
  </si>
  <si>
    <t>BLACK/BLUE POLKADOT UMBRELLA</t>
  </si>
  <si>
    <t>RED DINER WALL CLOCK</t>
  </si>
  <si>
    <t>BLUE DINER WALL CLOCK</t>
  </si>
  <si>
    <t>IVORY DINER WALL CLOCK</t>
  </si>
  <si>
    <t>LARGE HEART MEASURING SPOONS</t>
  </si>
  <si>
    <t>SMALL HEART MEASURING SPOONS</t>
  </si>
  <si>
    <t>JAM JAR WITH PINK LID</t>
  </si>
  <si>
    <t>JAM JAR WITH GREEN LID</t>
  </si>
  <si>
    <t xml:space="preserve">ROSE COTTAGE KEEPSAKE BOX </t>
  </si>
  <si>
    <t>84970S</t>
  </si>
  <si>
    <t>HANGING HEART ZINC T-LIGHT HOLDER</t>
  </si>
  <si>
    <t>PAPER CHAIN KIT VINTAGE CHRISTMAS</t>
  </si>
  <si>
    <t>DISCO BALL CHRISTMAS DECORATION</t>
  </si>
  <si>
    <t>SMALL POPCORN HOLDER</t>
  </si>
  <si>
    <t xml:space="preserve">LARGE POPCORN HOLDER </t>
  </si>
  <si>
    <t xml:space="preserve">SET/20 RED RETROSPOT PAPER NAPKINS </t>
  </si>
  <si>
    <t>SET/6 RED SPOTTY PAPER CUPS</t>
  </si>
  <si>
    <t xml:space="preserve">POLKADOT RAIN HAT </t>
  </si>
  <si>
    <t xml:space="preserve">DELUXE SEWING KIT </t>
  </si>
  <si>
    <t>RETROSPOT HEART HOT WATER BOTTLE</t>
  </si>
  <si>
    <t>84030E</t>
  </si>
  <si>
    <t>ENGLISH ROSE HOT WATER BOTTLE</t>
  </si>
  <si>
    <t>PHOTO CUBE</t>
  </si>
  <si>
    <t>C536391</t>
  </si>
  <si>
    <t xml:space="preserve">PLASTERS IN TIN CIRCUS PARADE </t>
  </si>
  <si>
    <t xml:space="preserve">PACK OF 12 PINK PAISLEY TISSUES </t>
  </si>
  <si>
    <t xml:space="preserve">PACK OF 12 BLUE PAISLEY TISSUES </t>
  </si>
  <si>
    <t xml:space="preserve">PACK OF 12 RED RETROSPOT TISSUES </t>
  </si>
  <si>
    <t>CHICK GREY HOT WATER BOTTLE</t>
  </si>
  <si>
    <t xml:space="preserve">PLASTERS IN TIN VINTAGE PAISLEY </t>
  </si>
  <si>
    <t>PLASTERS IN TIN SKULLS</t>
  </si>
  <si>
    <t>3 STRIPEY MICE FELTCRAFT</t>
  </si>
  <si>
    <t>SET OF 6 SOLDIER SKITTLES</t>
  </si>
  <si>
    <t>TRADITIONAL WOODEN SKIPPING ROPE</t>
  </si>
  <si>
    <t>WOODEN BOX OF DOMINOES</t>
  </si>
  <si>
    <t>RUSTIC  SEVENTEEN DRAWER SIDEBOARD</t>
  </si>
  <si>
    <t>PARTY CONES CARNIVAL ASSORTED</t>
  </si>
  <si>
    <t>PARTY CONES CANDY ASSORTED</t>
  </si>
  <si>
    <t>PICNIC BASKET WICKER SMALL</t>
  </si>
  <si>
    <t xml:space="preserve">STAR DECORATION PAINTED ZINC </t>
  </si>
  <si>
    <t>RETROSPOT LAMP</t>
  </si>
  <si>
    <t xml:space="preserve">FANCY FONT BIRTHDAY CARD, </t>
  </si>
  <si>
    <t>HAND WARMER SCOTTY DOG DESIGN</t>
  </si>
  <si>
    <t>HAND WARMER OWL DESIGN</t>
  </si>
  <si>
    <t>HAND WARMER RED RETROSPOT</t>
  </si>
  <si>
    <t>DOG BOWL CHASING BALL DESIGN</t>
  </si>
  <si>
    <t xml:space="preserve">CLOTHES PEGS RETROSPOT PACK 24 </t>
  </si>
  <si>
    <t xml:space="preserve">HAND OVER THE CHOCOLATE   SIGN </t>
  </si>
  <si>
    <t>TRAVEL SEWING KIT</t>
  </si>
  <si>
    <t>BLACK HEART CARD HOLDER</t>
  </si>
  <si>
    <t>SMALL GLASS HEART TRINKET POT</t>
  </si>
  <si>
    <t>ALARM CLOCK BAKELIKE IVORY</t>
  </si>
  <si>
    <t>ALARM CLOCK BAKELIKE ORANGE</t>
  </si>
  <si>
    <t>HAND WARMER BIRD DESIGN</t>
  </si>
  <si>
    <t xml:space="preserve">IVORY EMBROIDERED QUILT </t>
  </si>
  <si>
    <t>35004B</t>
  </si>
  <si>
    <t>SET OF 3 BLACK FLYING DUCKS</t>
  </si>
  <si>
    <t>RED RETROSPOT MUG</t>
  </si>
  <si>
    <t>BABUSHKA LIGHTS STRING OF 10</t>
  </si>
  <si>
    <t>DOORMAT FAIRY CAKE</t>
  </si>
  <si>
    <t>total seals</t>
  </si>
  <si>
    <t>hour</t>
  </si>
  <si>
    <t>Sum of total seals</t>
  </si>
  <si>
    <t>Row Labels</t>
  </si>
  <si>
    <t>10 AM</t>
  </si>
  <si>
    <t>8 AM</t>
  </si>
  <si>
    <t>9 AM</t>
  </si>
  <si>
    <t>Grand Total</t>
  </si>
  <si>
    <t>WOODEN OWLS LIGHT GARLAND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</si>
</sst>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26"/>
      <color theme="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9">
    <xf numFmtId="0" fontId="0" fillId="0" borderId="0" xfId="0"/>
    <xf numFmtId="0" fontId="0" fillId="0" borderId="0" xfId="0" applyAlignment="1">
      <alignment horizontal="center"/>
    </xf>
    <xf numFmtId="22" fontId="0" fillId="0" borderId="0" xfId="0" applyNumberFormat="1" applyAlignment="1">
      <alignment horizontal="center"/>
    </xf>
    <xf numFmtId="0"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right"/>
    </xf>
    <xf numFmtId="0" fontId="0" fillId="0" borderId="0" xfId="0" applyNumberFormat="1" applyAlignment="1">
      <alignment horizontal="center"/>
    </xf>
    <xf numFmtId="0" fontId="1" fillId="0" borderId="0" xfId="0" applyFont="1" applyAlignment="1">
      <alignment horizontal="center"/>
    </xf>
  </cellXfs>
  <cellStyles count="1">
    <cellStyle name="Normal" xfId="0" builtinId="0"/>
  </cellStyles>
  <dxfs count="22">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27" formatCode="m/d/yyyy\ h:mm"/>
      <alignment horizontal="center" vertical="bottom" textRotation="0" wrapText="0" indent="0" justifyLastLine="0" shrinkToFit="0" readingOrder="0"/>
    </dxf>
    <dxf>
      <numFmt numFmtId="27" formatCode="m/d/yyyy\ h:mm"/>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s>
  <tableStyles count="0" defaultTableStyle="TableStyleMedium2" defaultPivotStyle="PivotStyleLight16"/>
  <colors>
    <mruColors>
      <color rgb="FF9900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5.xml"/><Relationship Id="rId13"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pivotCacheDefinition" Target="pivotCache/pivotCacheDefinition4.xml"/><Relationship Id="rId12" Type="http://schemas.openxmlformats.org/officeDocument/2006/relationships/theme" Target="theme/theme1.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owerPivotData" Target="model/item.data"/><Relationship Id="rId1" Type="http://schemas.openxmlformats.org/officeDocument/2006/relationships/worksheet" Target="worksheets/sheet1.xml"/><Relationship Id="rId6" Type="http://schemas.openxmlformats.org/officeDocument/2006/relationships/pivotCacheDefinition" Target="pivotCache/pivotCacheDefinition3.xml"/><Relationship Id="rId11" Type="http://schemas.microsoft.com/office/2007/relationships/slicerCache" Target="slicerCaches/slicerCache2.xml"/><Relationship Id="rId5" Type="http://schemas.openxmlformats.org/officeDocument/2006/relationships/pivotCacheDefinition" Target="pivotCache/pivotCacheDefinition2.xml"/><Relationship Id="rId15" Type="http://schemas.openxmlformats.org/officeDocument/2006/relationships/sharedStrings" Target="sharedStrings.xml"/><Relationship Id="rId10" Type="http://schemas.microsoft.com/office/2007/relationships/slicerCache" Target="slicerCaches/slicerCache1.xml"/><Relationship Id="rId4" Type="http://schemas.openxmlformats.org/officeDocument/2006/relationships/pivotCacheDefinition" Target="pivotCache/pivotCacheDefinition1.xml"/><Relationship Id="rId9" Type="http://schemas.openxmlformats.org/officeDocument/2006/relationships/pivotCacheDefinition" Target="pivotCache/pivotCacheDefinition6.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[sales-data-analysis.xlsx.xlsx]Analysis!PivotTable1</c:name>
    <c:fmtId val="19"/>
  </c:pivotSource>
  <c:chart>
    <c:title>
      <c:tx>
        <c:rich>
          <a:bodyPr rot="0" spcFirstLastPara="1" vertOverflow="ellipsis" vert="horz" wrap="square" anchor="ctr" anchorCtr="1"/>
          <a:lstStyle/>
          <a:p>
            <a:pPr algn="ctr" rtl="0">
              <a:defRPr sz="1440" b="0" i="0" u="none" strike="noStrike" kern="1200" spc="0" baseline="0">
                <a:solidFill>
                  <a:schemeClr val="tx1"/>
                </a:solidFill>
                <a:latin typeface="+mn-lt"/>
                <a:ea typeface="+mn-ea"/>
                <a:cs typeface="+mn-cs"/>
              </a:defRPr>
            </a:pPr>
            <a:r>
              <a:rPr lang="en-US">
                <a:solidFill>
                  <a:schemeClr val="tx1"/>
                </a:solidFill>
              </a:rPr>
              <a:t>Sales by Hour</a:t>
            </a:r>
          </a:p>
          <a:p>
            <a:pPr algn="ctr" rtl="0">
              <a:defRPr>
                <a:solidFill>
                  <a:schemeClr val="tx1"/>
                </a:solidFill>
              </a:defRPr>
            </a:pPr>
            <a:endParaRPr lang="en-US">
              <a:solidFill>
                <a:schemeClr val="tx1"/>
              </a:solidFill>
            </a:endParaRPr>
          </a:p>
        </c:rich>
      </c:tx>
      <c:layout>
        <c:manualLayout>
          <c:xMode val="edge"/>
          <c:yMode val="edge"/>
          <c:x val="0.37904155730533684"/>
          <c:y val="5.4534849810440364E-2"/>
        </c:manualLayout>
      </c:layout>
      <c:overlay val="0"/>
      <c:spPr>
        <a:noFill/>
        <a:ln>
          <a:noFill/>
        </a:ln>
        <a:effectLst/>
      </c:spPr>
      <c:txPr>
        <a:bodyPr rot="0" spcFirstLastPara="1" vertOverflow="ellipsis" vert="horz" wrap="square" anchor="ctr" anchorCtr="1"/>
        <a:lstStyle/>
        <a:p>
          <a:pPr algn="ctr" rtl="0">
            <a:defRPr sz="144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Analysis!$J$7</c:f>
              <c:strCache>
                <c:ptCount val="1"/>
                <c:pt idx="0">
                  <c:v>Total</c:v>
                </c:pt>
              </c:strCache>
            </c:strRef>
          </c:tx>
          <c:spPr>
            <a:solidFill>
              <a:schemeClr val="accent1"/>
            </a:solidFill>
            <a:ln>
              <a:noFill/>
            </a:ln>
            <a:effectLst/>
          </c:spPr>
          <c:invertIfNegative val="0"/>
          <c:cat>
            <c:strRef>
              <c:f>Analysis!$I$8:$I$11</c:f>
              <c:strCache>
                <c:ptCount val="3"/>
                <c:pt idx="0">
                  <c:v>10 AM</c:v>
                </c:pt>
                <c:pt idx="1">
                  <c:v>8 AM</c:v>
                </c:pt>
                <c:pt idx="2">
                  <c:v>9 AM</c:v>
                </c:pt>
              </c:strCache>
            </c:strRef>
          </c:cat>
          <c:val>
            <c:numRef>
              <c:f>Analysis!$J$8:$J$11</c:f>
              <c:numCache>
                <c:formatCode>General</c:formatCode>
                <c:ptCount val="3"/>
                <c:pt idx="0">
                  <c:v>4767.1299999999974</c:v>
                </c:pt>
                <c:pt idx="1">
                  <c:v>1383.8099999999997</c:v>
                </c:pt>
                <c:pt idx="2">
                  <c:v>7324.239999999998</c:v>
                </c:pt>
              </c:numCache>
            </c:numRef>
          </c:val>
          <c:extLst>
            <c:ext xmlns:c16="http://schemas.microsoft.com/office/drawing/2014/chart" uri="{C3380CC4-5D6E-409C-BE32-E72D297353CC}">
              <c16:uniqueId val="{00000000-D409-46F0-91CF-9BFDCBB2A46A}"/>
            </c:ext>
          </c:extLst>
        </c:ser>
        <c:dLbls>
          <c:showLegendKey val="0"/>
          <c:showVal val="0"/>
          <c:showCatName val="0"/>
          <c:showSerName val="0"/>
          <c:showPercent val="0"/>
          <c:showBubbleSize val="0"/>
        </c:dLbls>
        <c:gapWidth val="150"/>
        <c:overlap val="100"/>
        <c:axId val="1642633983"/>
        <c:axId val="1642622463"/>
      </c:barChart>
      <c:catAx>
        <c:axId val="16426339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642622463"/>
        <c:crosses val="autoZero"/>
        <c:auto val="1"/>
        <c:lblAlgn val="ctr"/>
        <c:lblOffset val="100"/>
        <c:noMultiLvlLbl val="0"/>
      </c:catAx>
      <c:valAx>
        <c:axId val="16426224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64263398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[sales-data-analysis.xlsx.xlsx]Analysis!PivotTable4</c:name>
    <c:fmtId val="8"/>
  </c:pivotSource>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solidFill>
                  <a:schemeClr val="tx1"/>
                </a:solidFill>
              </a:rPr>
              <a:t>Top Produacts (Sales)</a:t>
            </a:r>
          </a:p>
        </c:rich>
      </c:tx>
      <c:layout>
        <c:manualLayout>
          <c:xMode val="edge"/>
          <c:yMode val="edge"/>
          <c:x val="0.32923600174978124"/>
          <c:y val="8.6942257217847763E-2"/>
        </c:manualLayout>
      </c:layout>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Analysis!$J$35</c:f>
              <c:strCache>
                <c:ptCount val="1"/>
                <c:pt idx="0">
                  <c:v>Total</c:v>
                </c:pt>
              </c:strCache>
            </c:strRef>
          </c:tx>
          <c:spPr>
            <a:solidFill>
              <a:schemeClr val="accent1"/>
            </a:solidFill>
            <a:ln>
              <a:noFill/>
            </a:ln>
            <a:effectLst/>
          </c:spPr>
          <c:invertIfNegative val="0"/>
          <c:cat>
            <c:strRef>
              <c:f>Analysis!$I$36:$I$46</c:f>
              <c:strCache>
                <c:ptCount val="10"/>
                <c:pt idx="0">
                  <c:v>CHILLI LIGHTS</c:v>
                </c:pt>
                <c:pt idx="1">
                  <c:v>FAIRY TALE COTTAGE NIGHTLIGHT</c:v>
                </c:pt>
                <c:pt idx="2">
                  <c:v>HAND WARMER SCOTTY DOG DESIGN</c:v>
                </c:pt>
                <c:pt idx="3">
                  <c:v>JUMBO BAG RED RETROSPOT</c:v>
                </c:pt>
                <c:pt idx="4">
                  <c:v>LIGHT GARLAND BUTTERFILES PINK</c:v>
                </c:pt>
                <c:pt idx="5">
                  <c:v>RED TOADSTOOL LED NIGHT LIGHT</c:v>
                </c:pt>
                <c:pt idx="6">
                  <c:v>SET OF 3 COLOURED  FLYING DUCKS</c:v>
                </c:pt>
                <c:pt idx="7">
                  <c:v>VICTORIAN SEWING BOX LARGE</c:v>
                </c:pt>
                <c:pt idx="8">
                  <c:v>WHITE HANGING HEART T-LIGHT HOLDER</c:v>
                </c:pt>
                <c:pt idx="9">
                  <c:v>WOODEN OWLS LIGHT GARLAND</c:v>
                </c:pt>
              </c:strCache>
            </c:strRef>
          </c:cat>
          <c:val>
            <c:numRef>
              <c:f>Analysis!$J$36:$J$46</c:f>
              <c:numCache>
                <c:formatCode>General</c:formatCode>
                <c:ptCount val="10"/>
                <c:pt idx="0">
                  <c:v>733.43999999999994</c:v>
                </c:pt>
                <c:pt idx="1">
                  <c:v>626.4</c:v>
                </c:pt>
                <c:pt idx="2">
                  <c:v>278.40000000000003</c:v>
                </c:pt>
                <c:pt idx="3">
                  <c:v>330</c:v>
                </c:pt>
                <c:pt idx="4">
                  <c:v>647.04</c:v>
                </c:pt>
                <c:pt idx="5">
                  <c:v>582.9</c:v>
                </c:pt>
                <c:pt idx="6">
                  <c:v>251.25000000000003</c:v>
                </c:pt>
                <c:pt idx="7">
                  <c:v>350.4</c:v>
                </c:pt>
                <c:pt idx="8">
                  <c:v>306</c:v>
                </c:pt>
                <c:pt idx="9">
                  <c:v>647.04</c:v>
                </c:pt>
              </c:numCache>
            </c:numRef>
          </c:val>
          <c:extLst>
            <c:ext xmlns:c16="http://schemas.microsoft.com/office/drawing/2014/chart" uri="{C3380CC4-5D6E-409C-BE32-E72D297353CC}">
              <c16:uniqueId val="{00000000-4691-4946-B730-D77B53AD526D}"/>
            </c:ext>
          </c:extLst>
        </c:ser>
        <c:dLbls>
          <c:showLegendKey val="0"/>
          <c:showVal val="0"/>
          <c:showCatName val="0"/>
          <c:showSerName val="0"/>
          <c:showPercent val="0"/>
          <c:showBubbleSize val="0"/>
        </c:dLbls>
        <c:gapWidth val="182"/>
        <c:axId val="1687258847"/>
        <c:axId val="1687255487"/>
      </c:barChart>
      <c:catAx>
        <c:axId val="168725884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687255487"/>
        <c:crosses val="autoZero"/>
        <c:auto val="1"/>
        <c:lblAlgn val="ctr"/>
        <c:lblOffset val="100"/>
        <c:noMultiLvlLbl val="0"/>
      </c:catAx>
      <c:valAx>
        <c:axId val="168725548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6872588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[sales-data-analysis.xlsx.xlsx]Analysis!PivotTable5</c:name>
    <c:fmtId val="5"/>
  </c:pivotSource>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solidFill>
                  <a:schemeClr val="tx1"/>
                </a:solidFill>
              </a:rPr>
              <a:t>Sales by Country</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Analysis!$J$62</c:f>
              <c:strCache>
                <c:ptCount val="1"/>
                <c:pt idx="0">
                  <c:v>Total</c:v>
                </c:pt>
              </c:strCache>
            </c:strRef>
          </c:tx>
          <c:spPr>
            <a:solidFill>
              <a:schemeClr val="accent1"/>
            </a:solidFill>
            <a:ln>
              <a:noFill/>
            </a:ln>
            <a:effectLst/>
          </c:spPr>
          <c:invertIfNegative val="0"/>
          <c:cat>
            <c:strRef>
              <c:f>Analysis!$I$63:$I$66</c:f>
              <c:strCache>
                <c:ptCount val="3"/>
                <c:pt idx="0">
                  <c:v>Australia</c:v>
                </c:pt>
                <c:pt idx="1">
                  <c:v>France</c:v>
                </c:pt>
                <c:pt idx="2">
                  <c:v>United Kingdom</c:v>
                </c:pt>
              </c:strCache>
            </c:strRef>
          </c:cat>
          <c:val>
            <c:numRef>
              <c:f>Analysis!$J$63:$J$66</c:f>
              <c:numCache>
                <c:formatCode>General</c:formatCode>
                <c:ptCount val="3"/>
                <c:pt idx="0">
                  <c:v>358.25</c:v>
                </c:pt>
                <c:pt idx="1">
                  <c:v>855.86</c:v>
                </c:pt>
                <c:pt idx="2">
                  <c:v>12261.069999999996</c:v>
                </c:pt>
              </c:numCache>
            </c:numRef>
          </c:val>
          <c:extLst>
            <c:ext xmlns:c16="http://schemas.microsoft.com/office/drawing/2014/chart" uri="{C3380CC4-5D6E-409C-BE32-E72D297353CC}">
              <c16:uniqueId val="{00000000-DFED-4486-ADD8-87F2467C1F18}"/>
            </c:ext>
          </c:extLst>
        </c:ser>
        <c:dLbls>
          <c:showLegendKey val="0"/>
          <c:showVal val="0"/>
          <c:showCatName val="0"/>
          <c:showSerName val="0"/>
          <c:showPercent val="0"/>
          <c:showBubbleSize val="0"/>
        </c:dLbls>
        <c:gapWidth val="150"/>
        <c:overlap val="100"/>
        <c:axId val="1684039167"/>
        <c:axId val="1684044927"/>
      </c:barChart>
      <c:catAx>
        <c:axId val="168403916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684044927"/>
        <c:crosses val="autoZero"/>
        <c:auto val="1"/>
        <c:lblAlgn val="ctr"/>
        <c:lblOffset val="100"/>
        <c:noMultiLvlLbl val="0"/>
      </c:catAx>
      <c:valAx>
        <c:axId val="168404492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6840391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[sales-data-analysis.xlsx.xlsx]Analysis!PivotTable6</c:name>
    <c:fmtId val="6"/>
  </c:pivotSource>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mn-lt"/>
                <a:ea typeface="+mn-ea"/>
                <a:cs typeface="+mn-cs"/>
              </a:defRPr>
            </a:pPr>
            <a:r>
              <a:rPr lang="en-US">
                <a:solidFill>
                  <a:schemeClr val="tx1"/>
                </a:solidFill>
              </a:rPr>
              <a:t>Top Sales by Quantity</a:t>
            </a:r>
          </a:p>
          <a:p>
            <a:pPr algn="ctr" rtl="0">
              <a:defRPr/>
            </a:pPr>
            <a:endParaRPr lang="en-US">
              <a:solidFill>
                <a:schemeClr val="tx1"/>
              </a:solidFill>
            </a:endParaRPr>
          </a:p>
        </c:rich>
      </c:tx>
      <c:layout>
        <c:manualLayout>
          <c:xMode val="edge"/>
          <c:yMode val="edge"/>
          <c:x val="0.33630555555555558"/>
          <c:y val="9.1571886847477399E-2"/>
        </c:manualLayout>
      </c:layout>
      <c:overlay val="0"/>
      <c:spPr>
        <a:noFill/>
        <a:ln>
          <a:noFill/>
        </a:ln>
        <a:effectLst/>
      </c:spPr>
      <c:txPr>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Analysis!$J$96</c:f>
              <c:strCache>
                <c:ptCount val="1"/>
                <c:pt idx="0">
                  <c:v>Total</c:v>
                </c:pt>
              </c:strCache>
            </c:strRef>
          </c:tx>
          <c:spPr>
            <a:solidFill>
              <a:schemeClr val="accent1"/>
            </a:solidFill>
            <a:ln>
              <a:noFill/>
            </a:ln>
            <a:effectLst/>
          </c:spPr>
          <c:invertIfNegative val="0"/>
          <c:cat>
            <c:strRef>
              <c:f>Analysis!$I$97:$I$107</c:f>
              <c:strCache>
                <c:ptCount val="10"/>
                <c:pt idx="0">
                  <c:v>6</c:v>
                </c:pt>
                <c:pt idx="1">
                  <c:v>8</c:v>
                </c:pt>
                <c:pt idx="2">
                  <c:v>12</c:v>
                </c:pt>
                <c:pt idx="3">
                  <c:v>24</c:v>
                </c:pt>
                <c:pt idx="4">
                  <c:v>32</c:v>
                </c:pt>
                <c:pt idx="5">
                  <c:v>48</c:v>
                </c:pt>
                <c:pt idx="6">
                  <c:v>96</c:v>
                </c:pt>
                <c:pt idx="7">
                  <c:v>100</c:v>
                </c:pt>
                <c:pt idx="8">
                  <c:v>192</c:v>
                </c:pt>
                <c:pt idx="9">
                  <c:v>432</c:v>
                </c:pt>
              </c:strCache>
            </c:strRef>
          </c:cat>
          <c:val>
            <c:numRef>
              <c:f>Analysis!$J$97:$J$107</c:f>
              <c:numCache>
                <c:formatCode>General</c:formatCode>
                <c:ptCount val="10"/>
                <c:pt idx="0">
                  <c:v>1226.9999999999998</c:v>
                </c:pt>
                <c:pt idx="1">
                  <c:v>664.40000000000009</c:v>
                </c:pt>
                <c:pt idx="2">
                  <c:v>851.04</c:v>
                </c:pt>
                <c:pt idx="3">
                  <c:v>1107.3600000000004</c:v>
                </c:pt>
                <c:pt idx="4">
                  <c:v>540.16</c:v>
                </c:pt>
                <c:pt idx="5">
                  <c:v>953.76</c:v>
                </c:pt>
                <c:pt idx="6">
                  <c:v>989.7600000000001</c:v>
                </c:pt>
                <c:pt idx="7">
                  <c:v>567</c:v>
                </c:pt>
                <c:pt idx="8">
                  <c:v>2027.52</c:v>
                </c:pt>
                <c:pt idx="9">
                  <c:v>1166.4000000000001</c:v>
                </c:pt>
              </c:numCache>
            </c:numRef>
          </c:val>
          <c:extLst>
            <c:ext xmlns:c16="http://schemas.microsoft.com/office/drawing/2014/chart" uri="{C3380CC4-5D6E-409C-BE32-E72D297353CC}">
              <c16:uniqueId val="{00000000-F30A-4072-9234-C0CA4DB9BE8E}"/>
            </c:ext>
          </c:extLst>
        </c:ser>
        <c:dLbls>
          <c:showLegendKey val="0"/>
          <c:showVal val="0"/>
          <c:showCatName val="0"/>
          <c:showSerName val="0"/>
          <c:showPercent val="0"/>
          <c:showBubbleSize val="0"/>
        </c:dLbls>
        <c:gapWidth val="150"/>
        <c:overlap val="100"/>
        <c:axId val="943907823"/>
        <c:axId val="1642432111"/>
      </c:barChart>
      <c:catAx>
        <c:axId val="94390782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642432111"/>
        <c:crosses val="autoZero"/>
        <c:auto val="1"/>
        <c:lblAlgn val="ctr"/>
        <c:lblOffset val="100"/>
        <c:noMultiLvlLbl val="0"/>
      </c:catAx>
      <c:valAx>
        <c:axId val="164243211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94390782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[sales-data-analysis.xlsx.xlsx]Analysis!PivotTable7</c:name>
    <c:fmtId val="11"/>
  </c:pivotSource>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solidFill>
                  <a:schemeClr val="tx1"/>
                </a:solidFill>
              </a:rPr>
              <a:t>Top Customers</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Analysis!$J$117</c:f>
              <c:strCache>
                <c:ptCount val="1"/>
                <c:pt idx="0">
                  <c:v>Total</c:v>
                </c:pt>
              </c:strCache>
            </c:strRef>
          </c:tx>
          <c:spPr>
            <a:solidFill>
              <a:schemeClr val="accent1"/>
            </a:solidFill>
            <a:ln>
              <a:noFill/>
            </a:ln>
            <a:effectLst/>
          </c:spPr>
          <c:invertIfNegative val="0"/>
          <c:cat>
            <c:strRef>
              <c:f>Analysis!$I$118:$I$128</c:f>
              <c:strCache>
                <c:ptCount val="10"/>
                <c:pt idx="0">
                  <c:v>12583</c:v>
                </c:pt>
                <c:pt idx="1">
                  <c:v>13408</c:v>
                </c:pt>
                <c:pt idx="2">
                  <c:v>13767</c:v>
                </c:pt>
                <c:pt idx="3">
                  <c:v>14688</c:v>
                </c:pt>
                <c:pt idx="4">
                  <c:v>15311</c:v>
                </c:pt>
                <c:pt idx="5">
                  <c:v>16029</c:v>
                </c:pt>
                <c:pt idx="6">
                  <c:v>16098</c:v>
                </c:pt>
                <c:pt idx="7">
                  <c:v>17511</c:v>
                </c:pt>
                <c:pt idx="8">
                  <c:v>17850</c:v>
                </c:pt>
                <c:pt idx="9">
                  <c:v>18074</c:v>
                </c:pt>
              </c:strCache>
            </c:strRef>
          </c:cat>
          <c:val>
            <c:numRef>
              <c:f>Analysis!$J$118:$J$128</c:f>
              <c:numCache>
                <c:formatCode>General</c:formatCode>
                <c:ptCount val="10"/>
                <c:pt idx="0">
                  <c:v>855.86</c:v>
                </c:pt>
                <c:pt idx="1">
                  <c:v>1024.6800000000003</c:v>
                </c:pt>
                <c:pt idx="2">
                  <c:v>507.88000000000011</c:v>
                </c:pt>
                <c:pt idx="3">
                  <c:v>444.98</c:v>
                </c:pt>
                <c:pt idx="4">
                  <c:v>445.33</c:v>
                </c:pt>
                <c:pt idx="5">
                  <c:v>3702.12</c:v>
                </c:pt>
                <c:pt idx="6">
                  <c:v>430.59999999999997</c:v>
                </c:pt>
                <c:pt idx="7">
                  <c:v>1825.74</c:v>
                </c:pt>
                <c:pt idx="8">
                  <c:v>1101.8000000000002</c:v>
                </c:pt>
                <c:pt idx="9">
                  <c:v>489.6</c:v>
                </c:pt>
              </c:numCache>
            </c:numRef>
          </c:val>
          <c:extLst>
            <c:ext xmlns:c16="http://schemas.microsoft.com/office/drawing/2014/chart" uri="{C3380CC4-5D6E-409C-BE32-E72D297353CC}">
              <c16:uniqueId val="{00000000-7B0B-4551-A4C8-B5C372A7D010}"/>
            </c:ext>
          </c:extLst>
        </c:ser>
        <c:dLbls>
          <c:showLegendKey val="0"/>
          <c:showVal val="0"/>
          <c:showCatName val="0"/>
          <c:showSerName val="0"/>
          <c:showPercent val="0"/>
          <c:showBubbleSize val="0"/>
        </c:dLbls>
        <c:gapWidth val="219"/>
        <c:overlap val="-27"/>
        <c:axId val="1067836175"/>
        <c:axId val="1067837615"/>
      </c:barChart>
      <c:catAx>
        <c:axId val="10678361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067837615"/>
        <c:crosses val="autoZero"/>
        <c:auto val="1"/>
        <c:lblAlgn val="ctr"/>
        <c:lblOffset val="100"/>
        <c:noMultiLvlLbl val="0"/>
      </c:catAx>
      <c:valAx>
        <c:axId val="106783761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06783617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6</xdr:col>
      <xdr:colOff>495300</xdr:colOff>
      <xdr:row>2</xdr:row>
      <xdr:rowOff>47625</xdr:rowOff>
    </xdr:from>
    <xdr:to>
      <xdr:col>11</xdr:col>
      <xdr:colOff>590550</xdr:colOff>
      <xdr:row>5</xdr:row>
      <xdr:rowOff>142875</xdr:rowOff>
    </xdr:to>
    <xdr:sp macro="" textlink="">
      <xdr:nvSpPr>
        <xdr:cNvPr id="2" name="Rectangle: Rounded Corners 1">
          <a:extLst>
            <a:ext uri="{FF2B5EF4-FFF2-40B4-BE49-F238E27FC236}">
              <a16:creationId xmlns:a16="http://schemas.microsoft.com/office/drawing/2014/main" id="{4A93FA3D-CE2B-AE15-8231-7CD18EFB8D17}"/>
            </a:ext>
          </a:extLst>
        </xdr:cNvPr>
        <xdr:cNvSpPr/>
      </xdr:nvSpPr>
      <xdr:spPr>
        <a:xfrm>
          <a:off x="4924425" y="428625"/>
          <a:ext cx="4600575" cy="666750"/>
        </a:xfrm>
        <a:prstGeom prst="roundRect">
          <a:avLst/>
        </a:prstGeom>
        <a:solidFill>
          <a:schemeClr val="accent2">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400">
              <a:solidFill>
                <a:schemeClr val="tx1"/>
              </a:solidFill>
            </a:rPr>
            <a:t>Sales by Hour</a:t>
          </a:r>
        </a:p>
      </xdr:txBody>
    </xdr:sp>
    <xdr:clientData/>
  </xdr:twoCellAnchor>
  <xdr:twoCellAnchor>
    <xdr:from>
      <xdr:col>8</xdr:col>
      <xdr:colOff>123824</xdr:colOff>
      <xdr:row>30</xdr:row>
      <xdr:rowOff>47625</xdr:rowOff>
    </xdr:from>
    <xdr:to>
      <xdr:col>9</xdr:col>
      <xdr:colOff>1000125</xdr:colOff>
      <xdr:row>33</xdr:row>
      <xdr:rowOff>38100</xdr:rowOff>
    </xdr:to>
    <xdr:sp macro="" textlink="">
      <xdr:nvSpPr>
        <xdr:cNvPr id="3" name="Rectangle: Rounded Corners 2">
          <a:extLst>
            <a:ext uri="{FF2B5EF4-FFF2-40B4-BE49-F238E27FC236}">
              <a16:creationId xmlns:a16="http://schemas.microsoft.com/office/drawing/2014/main" id="{CFA45992-AD7B-6435-34B7-56B92E9AD59C}"/>
            </a:ext>
          </a:extLst>
        </xdr:cNvPr>
        <xdr:cNvSpPr/>
      </xdr:nvSpPr>
      <xdr:spPr>
        <a:xfrm>
          <a:off x="6305549" y="5762625"/>
          <a:ext cx="1990726" cy="561975"/>
        </a:xfrm>
        <a:prstGeom prst="roundRect">
          <a:avLst/>
        </a:prstGeom>
        <a:solidFill>
          <a:schemeClr val="accent2">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400">
              <a:solidFill>
                <a:schemeClr val="tx1"/>
              </a:solidFill>
            </a:rPr>
            <a:t>Top Products</a:t>
          </a:r>
        </a:p>
      </xdr:txBody>
    </xdr:sp>
    <xdr:clientData/>
  </xdr:twoCellAnchor>
  <xdr:twoCellAnchor>
    <xdr:from>
      <xdr:col>7</xdr:col>
      <xdr:colOff>428625</xdr:colOff>
      <xdr:row>56</xdr:row>
      <xdr:rowOff>0</xdr:rowOff>
    </xdr:from>
    <xdr:to>
      <xdr:col>10</xdr:col>
      <xdr:colOff>371475</xdr:colOff>
      <xdr:row>59</xdr:row>
      <xdr:rowOff>133350</xdr:rowOff>
    </xdr:to>
    <xdr:sp macro="" textlink="">
      <xdr:nvSpPr>
        <xdr:cNvPr id="4" name="Rectangle: Rounded Corners 3">
          <a:extLst>
            <a:ext uri="{FF2B5EF4-FFF2-40B4-BE49-F238E27FC236}">
              <a16:creationId xmlns:a16="http://schemas.microsoft.com/office/drawing/2014/main" id="{A0F714F4-C189-AC56-C756-371ABBD1A04D}"/>
            </a:ext>
          </a:extLst>
        </xdr:cNvPr>
        <xdr:cNvSpPr/>
      </xdr:nvSpPr>
      <xdr:spPr>
        <a:xfrm>
          <a:off x="5734050" y="10668000"/>
          <a:ext cx="3048000" cy="704850"/>
        </a:xfrm>
        <a:prstGeom prst="roundRect">
          <a:avLst/>
        </a:prstGeom>
        <a:solidFill>
          <a:schemeClr val="accent2">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400">
              <a:solidFill>
                <a:schemeClr val="tx1"/>
              </a:solidFill>
            </a:rPr>
            <a:t>Revenue by Country</a:t>
          </a:r>
        </a:p>
      </xdr:txBody>
    </xdr:sp>
    <xdr:clientData/>
  </xdr:twoCellAnchor>
  <xdr:twoCellAnchor>
    <xdr:from>
      <xdr:col>6</xdr:col>
      <xdr:colOff>581025</xdr:colOff>
      <xdr:row>89</xdr:row>
      <xdr:rowOff>66675</xdr:rowOff>
    </xdr:from>
    <xdr:to>
      <xdr:col>11</xdr:col>
      <xdr:colOff>533400</xdr:colOff>
      <xdr:row>93</xdr:row>
      <xdr:rowOff>171450</xdr:rowOff>
    </xdr:to>
    <xdr:sp macro="" textlink="">
      <xdr:nvSpPr>
        <xdr:cNvPr id="8" name="Rectangle: Rounded Corners 7">
          <a:extLst>
            <a:ext uri="{FF2B5EF4-FFF2-40B4-BE49-F238E27FC236}">
              <a16:creationId xmlns:a16="http://schemas.microsoft.com/office/drawing/2014/main" id="{68E58218-E314-2DAA-BB5A-0FAE7EFAC534}"/>
            </a:ext>
          </a:extLst>
        </xdr:cNvPr>
        <xdr:cNvSpPr/>
      </xdr:nvSpPr>
      <xdr:spPr>
        <a:xfrm>
          <a:off x="5010150" y="17021175"/>
          <a:ext cx="4305300" cy="866775"/>
        </a:xfrm>
        <a:prstGeom prst="roundRect">
          <a:avLst/>
        </a:prstGeom>
        <a:solidFill>
          <a:schemeClr val="accent2">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400">
              <a:solidFill>
                <a:schemeClr val="tx1"/>
              </a:solidFill>
            </a:rPr>
            <a:t>Top</a:t>
          </a:r>
          <a:r>
            <a:rPr lang="en-US" sz="2400" baseline="0">
              <a:solidFill>
                <a:schemeClr val="tx1"/>
              </a:solidFill>
            </a:rPr>
            <a:t> </a:t>
          </a:r>
          <a:r>
            <a:rPr lang="en-US" sz="2400">
              <a:solidFill>
                <a:schemeClr val="tx1"/>
              </a:solidFill>
            </a:rPr>
            <a:t>Sales by Quantity</a:t>
          </a:r>
        </a:p>
      </xdr:txBody>
    </xdr:sp>
    <xdr:clientData/>
  </xdr:twoCellAnchor>
  <xdr:twoCellAnchor>
    <xdr:from>
      <xdr:col>7</xdr:col>
      <xdr:colOff>276225</xdr:colOff>
      <xdr:row>111</xdr:row>
      <xdr:rowOff>38100</xdr:rowOff>
    </xdr:from>
    <xdr:to>
      <xdr:col>11</xdr:col>
      <xdr:colOff>66675</xdr:colOff>
      <xdr:row>115</xdr:row>
      <xdr:rowOff>9525</xdr:rowOff>
    </xdr:to>
    <xdr:sp macro="" textlink="">
      <xdr:nvSpPr>
        <xdr:cNvPr id="13" name="Rectangle: Rounded Corners 12">
          <a:extLst>
            <a:ext uri="{FF2B5EF4-FFF2-40B4-BE49-F238E27FC236}">
              <a16:creationId xmlns:a16="http://schemas.microsoft.com/office/drawing/2014/main" id="{B9B010EF-6C00-D329-8F1E-9D97423FCE22}"/>
            </a:ext>
          </a:extLst>
        </xdr:cNvPr>
        <xdr:cNvSpPr/>
      </xdr:nvSpPr>
      <xdr:spPr>
        <a:xfrm>
          <a:off x="5581650" y="21183600"/>
          <a:ext cx="3267075" cy="733425"/>
        </a:xfrm>
        <a:prstGeom prst="roundRect">
          <a:avLst/>
        </a:prstGeom>
        <a:solidFill>
          <a:schemeClr val="accent2">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400">
              <a:solidFill>
                <a:schemeClr val="tx1"/>
              </a:solidFill>
            </a:rPr>
            <a:t>Top Customers</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40968</xdr:colOff>
      <xdr:row>0</xdr:row>
      <xdr:rowOff>51211</xdr:rowOff>
    </xdr:from>
    <xdr:to>
      <xdr:col>18</xdr:col>
      <xdr:colOff>880807</xdr:colOff>
      <xdr:row>4</xdr:row>
      <xdr:rowOff>27346</xdr:rowOff>
    </xdr:to>
    <xdr:sp macro="" textlink="">
      <xdr:nvSpPr>
        <xdr:cNvPr id="2" name="Rectangle 1">
          <a:extLst>
            <a:ext uri="{FF2B5EF4-FFF2-40B4-BE49-F238E27FC236}">
              <a16:creationId xmlns:a16="http://schemas.microsoft.com/office/drawing/2014/main" id="{F401E811-845C-D242-F3A2-00A5218B815B}"/>
            </a:ext>
          </a:extLst>
        </xdr:cNvPr>
        <xdr:cNvSpPr/>
      </xdr:nvSpPr>
      <xdr:spPr>
        <a:xfrm>
          <a:off x="40968" y="51211"/>
          <a:ext cx="12362016" cy="754522"/>
        </a:xfrm>
        <a:prstGeom prst="rect">
          <a:avLst/>
        </a:prstGeom>
        <a:solidFill>
          <a:schemeClr val="accent4">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800" b="1">
              <a:solidFill>
                <a:schemeClr val="bg1"/>
              </a:solidFill>
            </a:rPr>
            <a:t>Sales</a:t>
          </a:r>
          <a:r>
            <a:rPr lang="en-US" sz="2800" b="1" baseline="0">
              <a:solidFill>
                <a:schemeClr val="bg1"/>
              </a:solidFill>
            </a:rPr>
            <a:t> Dashboard</a:t>
          </a:r>
        </a:p>
        <a:p>
          <a:pPr algn="ctr"/>
          <a:r>
            <a:rPr lang="en-US" sz="1200" b="1">
              <a:solidFill>
                <a:schemeClr val="tx1"/>
              </a:solidFill>
            </a:rPr>
            <a:t>December</a:t>
          </a:r>
          <a:r>
            <a:rPr lang="en-US" sz="1200" b="1" baseline="0">
              <a:solidFill>
                <a:schemeClr val="tx1"/>
              </a:solidFill>
            </a:rPr>
            <a:t> sales overview</a:t>
          </a:r>
          <a:endParaRPr lang="en-US" sz="1200" b="1">
            <a:solidFill>
              <a:schemeClr val="tx1"/>
            </a:solidFill>
          </a:endParaRPr>
        </a:p>
      </xdr:txBody>
    </xdr:sp>
    <xdr:clientData/>
  </xdr:twoCellAnchor>
  <xdr:twoCellAnchor>
    <xdr:from>
      <xdr:col>8</xdr:col>
      <xdr:colOff>18948</xdr:colOff>
      <xdr:row>4</xdr:row>
      <xdr:rowOff>66674</xdr:rowOff>
    </xdr:from>
    <xdr:to>
      <xdr:col>11</xdr:col>
      <xdr:colOff>76098</xdr:colOff>
      <xdr:row>8</xdr:row>
      <xdr:rowOff>28574</xdr:rowOff>
    </xdr:to>
    <xdr:sp macro="" textlink="">
      <xdr:nvSpPr>
        <xdr:cNvPr id="5" name="Rectangle: Rounded Corners 4">
          <a:extLst>
            <a:ext uri="{FF2B5EF4-FFF2-40B4-BE49-F238E27FC236}">
              <a16:creationId xmlns:a16="http://schemas.microsoft.com/office/drawing/2014/main" id="{4E9772E6-D2A4-2A7E-12DE-48E00119D9D7}"/>
            </a:ext>
          </a:extLst>
        </xdr:cNvPr>
        <xdr:cNvSpPr/>
      </xdr:nvSpPr>
      <xdr:spPr>
        <a:xfrm>
          <a:off x="4935077" y="845061"/>
          <a:ext cx="2371827" cy="975852"/>
        </a:xfrm>
        <a:prstGeom prst="roundRect">
          <a:avLst/>
        </a:prstGeom>
        <a:solidFill>
          <a:schemeClr val="accent4">
            <a:lumMod val="20000"/>
            <a:lumOff val="80000"/>
          </a:schemeClr>
        </a:solidFill>
        <a:effectLst>
          <a:innerShdw blurRad="63500" dist="50800">
            <a:prstClr val="black">
              <a:alpha val="50000"/>
            </a:prstClr>
          </a:inn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400">
              <a:solidFill>
                <a:schemeClr val="tx1">
                  <a:lumMod val="95000"/>
                  <a:lumOff val="5000"/>
                </a:schemeClr>
              </a:solidFill>
            </a:rPr>
            <a:t>Total sales</a:t>
          </a:r>
          <a:r>
            <a:rPr lang="en-US" sz="2000">
              <a:solidFill>
                <a:schemeClr val="tx1">
                  <a:lumMod val="95000"/>
                  <a:lumOff val="5000"/>
                </a:schemeClr>
              </a:solidFill>
            </a:rPr>
            <a:t>:</a:t>
          </a:r>
        </a:p>
        <a:p>
          <a:pPr algn="ctr"/>
          <a:r>
            <a:rPr lang="en-US" sz="2800" b="1">
              <a:solidFill>
                <a:srgbClr val="002060"/>
              </a:solidFill>
            </a:rPr>
            <a:t>13,475</a:t>
          </a:r>
        </a:p>
      </xdr:txBody>
    </xdr:sp>
    <xdr:clientData/>
  </xdr:twoCellAnchor>
  <xdr:twoCellAnchor>
    <xdr:from>
      <xdr:col>0</xdr:col>
      <xdr:colOff>19844</xdr:colOff>
      <xdr:row>8</xdr:row>
      <xdr:rowOff>9922</xdr:rowOff>
    </xdr:from>
    <xdr:to>
      <xdr:col>8</xdr:col>
      <xdr:colOff>87312</xdr:colOff>
      <xdr:row>22</xdr:row>
      <xdr:rowOff>113903</xdr:rowOff>
    </xdr:to>
    <xdr:graphicFrame macro="">
      <xdr:nvGraphicFramePr>
        <xdr:cNvPr id="4" name="Chart 3">
          <a:extLst>
            <a:ext uri="{FF2B5EF4-FFF2-40B4-BE49-F238E27FC236}">
              <a16:creationId xmlns:a16="http://schemas.microsoft.com/office/drawing/2014/main" id="{A8C563E8-4376-4064-A836-BA8A046D0A9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99217</xdr:rowOff>
    </xdr:from>
    <xdr:to>
      <xdr:col>8</xdr:col>
      <xdr:colOff>89297</xdr:colOff>
      <xdr:row>38</xdr:row>
      <xdr:rowOff>49608</xdr:rowOff>
    </xdr:to>
    <xdr:graphicFrame macro="">
      <xdr:nvGraphicFramePr>
        <xdr:cNvPr id="8" name="Chart 7">
          <a:extLst>
            <a:ext uri="{FF2B5EF4-FFF2-40B4-BE49-F238E27FC236}">
              <a16:creationId xmlns:a16="http://schemas.microsoft.com/office/drawing/2014/main" id="{F91535BF-38C9-4F08-AE0B-856380C3D97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1012030</xdr:colOff>
      <xdr:row>8</xdr:row>
      <xdr:rowOff>39688</xdr:rowOff>
    </xdr:from>
    <xdr:to>
      <xdr:col>18</xdr:col>
      <xdr:colOff>962422</xdr:colOff>
      <xdr:row>22</xdr:row>
      <xdr:rowOff>143669</xdr:rowOff>
    </xdr:to>
    <xdr:graphicFrame macro="">
      <xdr:nvGraphicFramePr>
        <xdr:cNvPr id="12" name="Chart 11">
          <a:extLst>
            <a:ext uri="{FF2B5EF4-FFF2-40B4-BE49-F238E27FC236}">
              <a16:creationId xmlns:a16="http://schemas.microsoft.com/office/drawing/2014/main" id="{2ADF81DD-31AB-49A4-BF5E-F8AD8ADE68D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1002108</xdr:colOff>
      <xdr:row>22</xdr:row>
      <xdr:rowOff>128983</xdr:rowOff>
    </xdr:from>
    <xdr:to>
      <xdr:col>18</xdr:col>
      <xdr:colOff>1012030</xdr:colOff>
      <xdr:row>38</xdr:row>
      <xdr:rowOff>39686</xdr:rowOff>
    </xdr:to>
    <xdr:graphicFrame macro="">
      <xdr:nvGraphicFramePr>
        <xdr:cNvPr id="13" name="Chart 12">
          <a:extLst>
            <a:ext uri="{FF2B5EF4-FFF2-40B4-BE49-F238E27FC236}">
              <a16:creationId xmlns:a16="http://schemas.microsoft.com/office/drawing/2014/main" id="{EE1FAD32-F777-4532-8D62-8747596F2D9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297657</xdr:colOff>
      <xdr:row>38</xdr:row>
      <xdr:rowOff>39687</xdr:rowOff>
    </xdr:from>
    <xdr:to>
      <xdr:col>17</xdr:col>
      <xdr:colOff>406797</xdr:colOff>
      <xdr:row>52</xdr:row>
      <xdr:rowOff>143668</xdr:rowOff>
    </xdr:to>
    <xdr:graphicFrame macro="">
      <xdr:nvGraphicFramePr>
        <xdr:cNvPr id="14" name="Chart 13">
          <a:extLst>
            <a:ext uri="{FF2B5EF4-FFF2-40B4-BE49-F238E27FC236}">
              <a16:creationId xmlns:a16="http://schemas.microsoft.com/office/drawing/2014/main" id="{0A61680F-4E47-4466-8896-9DB028EE633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8</xdr:col>
      <xdr:colOff>138906</xdr:colOff>
      <xdr:row>8</xdr:row>
      <xdr:rowOff>89298</xdr:rowOff>
    </xdr:from>
    <xdr:to>
      <xdr:col>10</xdr:col>
      <xdr:colOff>952500</xdr:colOff>
      <xdr:row>22</xdr:row>
      <xdr:rowOff>128984</xdr:rowOff>
    </xdr:to>
    <mc:AlternateContent xmlns:mc="http://schemas.openxmlformats.org/markup-compatibility/2006">
      <mc:Choice xmlns:a14="http://schemas.microsoft.com/office/drawing/2010/main" Requires="a14">
        <xdr:graphicFrame macro="">
          <xdr:nvGraphicFramePr>
            <xdr:cNvPr id="15" name="Country">
              <a:extLst>
                <a:ext uri="{FF2B5EF4-FFF2-40B4-BE49-F238E27FC236}">
                  <a16:creationId xmlns:a16="http://schemas.microsoft.com/office/drawing/2014/main" id="{3FC40AD2-7BD8-4B83-8032-F471EE0A1BD4}"/>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dr:sp macro="" textlink="">
          <xdr:nvSpPr>
            <xdr:cNvPr id="0" name=""/>
            <xdr:cNvSpPr>
              <a:spLocks noTextEdit="1"/>
            </xdr:cNvSpPr>
          </xdr:nvSpPr>
          <xdr:spPr>
            <a:xfrm>
              <a:off x="4980781" y="1835548"/>
              <a:ext cx="2024063" cy="267890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128985</xdr:colOff>
      <xdr:row>22</xdr:row>
      <xdr:rowOff>168672</xdr:rowOff>
    </xdr:from>
    <xdr:to>
      <xdr:col>10</xdr:col>
      <xdr:colOff>952500</xdr:colOff>
      <xdr:row>38</xdr:row>
      <xdr:rowOff>39687</xdr:rowOff>
    </xdr:to>
    <mc:AlternateContent xmlns:mc="http://schemas.openxmlformats.org/markup-compatibility/2006">
      <mc:Choice xmlns:a14="http://schemas.microsoft.com/office/drawing/2010/main" Requires="a14">
        <xdr:graphicFrame macro="">
          <xdr:nvGraphicFramePr>
            <xdr:cNvPr id="16" name="Description">
              <a:extLst>
                <a:ext uri="{FF2B5EF4-FFF2-40B4-BE49-F238E27FC236}">
                  <a16:creationId xmlns:a16="http://schemas.microsoft.com/office/drawing/2014/main" id="{B7208EFC-051D-40F5-A974-93A202A51E65}"/>
                </a:ext>
              </a:extLst>
            </xdr:cNvPr>
            <xdr:cNvGraphicFramePr/>
          </xdr:nvGraphicFramePr>
          <xdr:xfrm>
            <a:off x="0" y="0"/>
            <a:ext cx="0" cy="0"/>
          </xdr:xfrm>
          <a:graphic>
            <a:graphicData uri="http://schemas.microsoft.com/office/drawing/2010/slicer">
              <sle:slicer xmlns:sle="http://schemas.microsoft.com/office/drawing/2010/slicer" name="Description"/>
            </a:graphicData>
          </a:graphic>
        </xdr:graphicFrame>
      </mc:Choice>
      <mc:Fallback>
        <xdr:sp macro="" textlink="">
          <xdr:nvSpPr>
            <xdr:cNvPr id="0" name=""/>
            <xdr:cNvSpPr>
              <a:spLocks noTextEdit="1"/>
            </xdr:cNvSpPr>
          </xdr:nvSpPr>
          <xdr:spPr>
            <a:xfrm>
              <a:off x="4970860" y="4554141"/>
              <a:ext cx="2033984" cy="288726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oni" refreshedDate="46147.907880092593" backgroundQuery="1" createdVersion="8" refreshedVersion="8" minRefreshableVersion="3" recordCount="0" supportSubquery="1" supportAdvancedDrill="1" xr:uid="{56828DB4-161A-4B3E-AD5F-D60801D260B1}">
  <cacheSource type="external" connectionId="1"/>
  <cacheFields count="3">
    <cacheField name="[Table1].[hour].[hour]" caption="hour" numFmtId="0" level="1">
      <sharedItems count="3">
        <s v="10 AM"/>
        <s v="8 AM"/>
        <s v="9 AM"/>
      </sharedItems>
    </cacheField>
    <cacheField name="[Measures].[Sum of total seals]" caption="Sum of total seals" numFmtId="0" hierarchy="14" level="32767"/>
    <cacheField name="[Table1].[Description].[Description]" caption="Description" numFmtId="0" hierarchy="4" level="1">
      <sharedItems containsSemiMixedTypes="0" containsNonDate="0" containsString="0"/>
    </cacheField>
  </cacheFields>
  <cacheHierarchies count="16">
    <cacheHierarchy uniqueName="[Table1].[hour]" caption="hour" attribute="1" defaultMemberUniqueName="[Table1].[hour].[All]" allUniqueName="[Table1].[hour].[All]" dimensionUniqueName="[Table1]" displayFolder="" count="2" memberValueDatatype="130" unbalanced="0">
      <fieldsUsage count="2">
        <fieldUsage x="-1"/>
        <fieldUsage x="0"/>
      </fieldsUsage>
    </cacheHierarchy>
    <cacheHierarchy uniqueName="[Table1].[total seals]" caption="total seals" attribute="1" defaultMemberUniqueName="[Table1].[total seals].[All]" allUniqueName="[Table1].[total seals].[All]" dimensionUniqueName="[Table1]" displayFolder="" count="2" memberValueDatatype="5" unbalanced="0"/>
    <cacheHierarchy uniqueName="[Table1].[InvoiceNo]" caption="InvoiceNo" attribute="1" defaultMemberUniqueName="[Table1].[InvoiceNo].[All]" allUniqueName="[Table1].[InvoiceNo].[All]" dimensionUniqueName="[Table1]" displayFolder="" count="2" memberValueDatatype="130" unbalanced="0"/>
    <cacheHierarchy uniqueName="[Table1].[StockCode]" caption="StockCode" attribute="1" defaultMemberUniqueName="[Table1].[StockCode].[All]" allUniqueName="[Table1].[StockCode].[All]" dimensionUniqueName="[Table1]" displayFolder="" count="2" memberValueDatatype="130" unbalanced="0"/>
    <cacheHierarchy uniqueName="[Table1].[Description]" caption="Description" attribute="1" defaultMemberUniqueName="[Table1].[Description].[All]" allUniqueName="[Table1].[Description].[All]" dimensionUniqueName="[Table1]" displayFolder="" count="2" memberValueDatatype="130" unbalanced="0">
      <fieldsUsage count="2">
        <fieldUsage x="-1"/>
        <fieldUsage x="2"/>
      </fieldsUsage>
    </cacheHierarchy>
    <cacheHierarchy uniqueName="[Table1].[Quantity]" caption="Quantity" attribute="1" defaultMemberUniqueName="[Table1].[Quantity].[All]" allUniqueName="[Table1].[Quantity].[All]" dimensionUniqueName="[Table1]" displayFolder="" count="2" memberValueDatatype="20" unbalanced="0"/>
    <cacheHierarchy uniqueName="[Table1].[InvoiceDate]" caption="InvoiceDate" attribute="1" time="1" defaultMemberUniqueName="[Table1].[InvoiceDate].[All]" allUniqueName="[Table1].[InvoiceDate].[All]" dimensionUniqueName="[Table1]" displayFolder="" count="2" memberValueDatatype="7" unbalanced="0"/>
    <cacheHierarchy uniqueName="[Table1].[UnitPrice]" caption="UnitPrice" attribute="1" defaultMemberUniqueName="[Table1].[UnitPrice].[All]" allUniqueName="[Table1].[UnitPrice].[All]" dimensionUniqueName="[Table1]" displayFolder="" count="2" memberValueDatatype="5" unbalanced="0"/>
    <cacheHierarchy uniqueName="[Table1].[CustomerID]" caption="CustomerID" attribute="1" defaultMemberUniqueName="[Table1].[CustomerID].[All]" allUniqueName="[Table1].[CustomerID].[All]" dimensionUniqueName="[Table1]" displayFolder="" count="2" memberValueDatatype="20" unbalanced="0"/>
    <cacheHierarchy uniqueName="[Table1].[Country]" caption="Country" attribute="1" defaultMemberUniqueName="[Table1].[Country].[All]" allUniqueName="[Table1].[Country].[All]" dimensionUniqueName="[Table1]" displayFolder="" count="2" memberValueDatatype="130" unbalanced="0"/>
    <cacheHierarchy uniqueName="[Table1].[InvoiceDate (Hour)]" caption="InvoiceDate (Hour)" attribute="1" defaultMemberUniqueName="[Table1].[InvoiceDate (Hour)].[All]" allUniqueName="[Table1].[InvoiceDate (Hour)].[All]" dimensionUniqueName="[Table1]" displayFolder="" count="2" memberValueDatatype="130" unbalanced="0"/>
    <cacheHierarchy uniqueName="[Table1].[InvoiceDate (Minute)]" caption="InvoiceDate (Minute)" attribute="1" defaultMemberUniqueName="[Table1].[InvoiceDate (Minute)].[All]" allUniqueName="[Table1].[InvoiceDate (Minute)].[All]" dimensionUniqueName="[Table1]" displayFolder="" count="2" memberValueDatatype="13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total seals]" caption="Sum of total seals" measure="1" displayFolder="" measureGroup="Table1" count="0" oneField="1" hidden="1">
      <fieldsUsage count="1">
        <fieldUsage x="1"/>
      </fieldsUsage>
      <extLst>
        <ext xmlns:x15="http://schemas.microsoft.com/office/spreadsheetml/2010/11/main" uri="{B97F6D7D-B522-45F9-BDA1-12C45D357490}">
          <x15:cacheHierarchy aggregatedColumn="1"/>
        </ext>
      </extLst>
    </cacheHierarchy>
    <cacheHierarchy uniqueName="[Measures].[Sum of Quantity]" caption="Sum of Quantity" measure="1" displayFolder="" measureGroup="Table1" count="0" hidden="1">
      <extLst>
        <ext xmlns:x15="http://schemas.microsoft.com/office/spreadsheetml/2010/11/main" uri="{B97F6D7D-B522-45F9-BDA1-12C45D357490}">
          <x15:cacheHierarchy aggregatedColumn="5"/>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oni" refreshedDate="46147.907864004628" backgroundQuery="1" createdVersion="8" refreshedVersion="8" minRefreshableVersion="3" recordCount="0" supportSubquery="1" supportAdvancedDrill="1" xr:uid="{DCAC3060-6311-4541-BCD3-9FA45E1ACDAA}">
  <cacheSource type="external" connectionId="1"/>
  <cacheFields count="3">
    <cacheField name="[Table1].[Country].[Country]" caption="Country" numFmtId="0" hierarchy="9" level="1">
      <sharedItems count="3">
        <s v="Australia"/>
        <s v="France"/>
        <s v="United Kingdom"/>
      </sharedItems>
    </cacheField>
    <cacheField name="[Measures].[Sum of total seals]" caption="Sum of total seals" numFmtId="0" hierarchy="14" level="32767"/>
    <cacheField name="[Table1].[Description].[Description]" caption="Description" numFmtId="0" hierarchy="4" level="1">
      <sharedItems containsSemiMixedTypes="0" containsNonDate="0" containsString="0"/>
    </cacheField>
  </cacheFields>
  <cacheHierarchies count="16">
    <cacheHierarchy uniqueName="[Table1].[hour]" caption="hour" attribute="1" defaultMemberUniqueName="[Table1].[hour].[All]" allUniqueName="[Table1].[hour].[All]" dimensionUniqueName="[Table1]" displayFolder="" count="0" memberValueDatatype="130" unbalanced="0"/>
    <cacheHierarchy uniqueName="[Table1].[total seals]" caption="total seals" attribute="1" defaultMemberUniqueName="[Table1].[total seals].[All]" allUniqueName="[Table1].[total seals].[All]" dimensionUniqueName="[Table1]" displayFolder="" count="0" memberValueDatatype="5" unbalanced="0"/>
    <cacheHierarchy uniqueName="[Table1].[InvoiceNo]" caption="InvoiceNo" attribute="1" defaultMemberUniqueName="[Table1].[InvoiceNo].[All]" allUniqueName="[Table1].[InvoiceNo].[All]" dimensionUniqueName="[Table1]" displayFolder="" count="0" memberValueDatatype="130" unbalanced="0"/>
    <cacheHierarchy uniqueName="[Table1].[StockCode]" caption="StockCode" attribute="1" defaultMemberUniqueName="[Table1].[StockCode].[All]" allUniqueName="[Table1].[StockCode].[All]" dimensionUniqueName="[Table1]" displayFolder="" count="0" memberValueDatatype="130" unbalanced="0"/>
    <cacheHierarchy uniqueName="[Table1].[Description]" caption="Description" attribute="1" defaultMemberUniqueName="[Table1].[Description].[All]" allUniqueName="[Table1].[Description].[All]" dimensionUniqueName="[Table1]" displayFolder="" count="2" memberValueDatatype="130" unbalanced="0">
      <fieldsUsage count="2">
        <fieldUsage x="-1"/>
        <fieldUsage x="2"/>
      </fieldsUsage>
    </cacheHierarchy>
    <cacheHierarchy uniqueName="[Table1].[Quantity]" caption="Quantity" attribute="1" defaultMemberUniqueName="[Table1].[Quantity].[All]" allUniqueName="[Table1].[Quantity].[All]" dimensionUniqueName="[Table1]" displayFolder="" count="0" memberValueDatatype="20" unbalanced="0"/>
    <cacheHierarchy uniqueName="[Table1].[InvoiceDate]" caption="InvoiceDate" attribute="1" time="1" defaultMemberUniqueName="[Table1].[InvoiceDate].[All]" allUniqueName="[Table1].[InvoiceDate].[All]" dimensionUniqueName="[Table1]" displayFolder="" count="0" memberValueDatatype="7" unbalanced="0"/>
    <cacheHierarchy uniqueName="[Table1].[UnitPrice]" caption="UnitPrice" attribute="1" defaultMemberUniqueName="[Table1].[UnitPrice].[All]" allUniqueName="[Table1].[UnitPrice].[All]" dimensionUniqueName="[Table1]" displayFolder="" count="0" memberValueDatatype="5" unbalanced="0"/>
    <cacheHierarchy uniqueName="[Table1].[CustomerID]" caption="CustomerID" attribute="1" defaultMemberUniqueName="[Table1].[CustomerID].[All]" allUniqueName="[Table1].[CustomerID].[All]" dimensionUniqueName="[Table1]" displayFolder="" count="0" memberValueDatatype="20" unbalanced="0"/>
    <cacheHierarchy uniqueName="[Table1].[Country]" caption="Country" attribute="1" defaultMemberUniqueName="[Table1].[Country].[All]" allUniqueName="[Table1].[Country].[All]" dimensionUniqueName="[Table1]" displayFolder="" count="2" memberValueDatatype="130" unbalanced="0">
      <fieldsUsage count="2">
        <fieldUsage x="-1"/>
        <fieldUsage x="0"/>
      </fieldsUsage>
    </cacheHierarchy>
    <cacheHierarchy uniqueName="[Table1].[InvoiceDate (Hour)]" caption="InvoiceDate (Hour)" attribute="1" defaultMemberUniqueName="[Table1].[InvoiceDate (Hour)].[All]" allUniqueName="[Table1].[InvoiceDate (Hour)].[All]" dimensionUniqueName="[Table1]" displayFolder="" count="0" memberValueDatatype="130" unbalanced="0"/>
    <cacheHierarchy uniqueName="[Table1].[InvoiceDate (Minute)]" caption="InvoiceDate (Minute)" attribute="1" defaultMemberUniqueName="[Table1].[InvoiceDate (Minute)].[All]" allUniqueName="[Table1].[InvoiceDate (Minute)].[All]" dimensionUniqueName="[Table1]" displayFolder="" count="0" memberValueDatatype="13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total seals]" caption="Sum of total seals" measure="1" displayFolder="" measureGroup="Table1" count="0" oneField="1" hidden="1">
      <fieldsUsage count="1">
        <fieldUsage x="1"/>
      </fieldsUsage>
      <extLst>
        <ext xmlns:x15="http://schemas.microsoft.com/office/spreadsheetml/2010/11/main" uri="{B97F6D7D-B522-45F9-BDA1-12C45D357490}">
          <x15:cacheHierarchy aggregatedColumn="1"/>
        </ext>
      </extLst>
    </cacheHierarchy>
    <cacheHierarchy uniqueName="[Measures].[Sum of Quantity]" caption="Sum of Quantity" measure="1" displayFolder="" measureGroup="Table1" count="0" hidden="1">
      <extLst>
        <ext xmlns:x15="http://schemas.microsoft.com/office/spreadsheetml/2010/11/main" uri="{B97F6D7D-B522-45F9-BDA1-12C45D357490}">
          <x15:cacheHierarchy aggregatedColumn="5"/>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oni" refreshedDate="46147.90785462963" backgroundQuery="1" createdVersion="8" refreshedVersion="8" minRefreshableVersion="3" recordCount="0" supportSubquery="1" supportAdvancedDrill="1" xr:uid="{BEB1E2E4-BF05-4ECE-BC34-AE08B94AA4DF}">
  <cacheSource type="external" connectionId="1"/>
  <cacheFields count="3">
    <cacheField name="[Table1].[Quantity].[Quantity]" caption="Quantity" numFmtId="0" hierarchy="5" level="1">
      <sharedItems containsSemiMixedTypes="0" containsString="0" containsNumber="1" containsInteger="1" minValue="6" maxValue="432" count="10">
        <n v="6"/>
        <n v="8"/>
        <n v="12"/>
        <n v="24"/>
        <n v="32"/>
        <n v="48"/>
        <n v="96"/>
        <n v="100"/>
        <n v="192"/>
        <n v="432"/>
      </sharedItems>
      <extLst>
        <ext xmlns:x15="http://schemas.microsoft.com/office/spreadsheetml/2010/11/main" uri="{4F2E5C28-24EA-4eb8-9CBF-B6C8F9C3D259}">
          <x15:cachedUniqueNames>
            <x15:cachedUniqueName index="0" name="[Table1].[Quantity].&amp;[6]"/>
            <x15:cachedUniqueName index="1" name="[Table1].[Quantity].&amp;[8]"/>
            <x15:cachedUniqueName index="2" name="[Table1].[Quantity].&amp;[12]"/>
            <x15:cachedUniqueName index="3" name="[Table1].[Quantity].&amp;[24]"/>
            <x15:cachedUniqueName index="4" name="[Table1].[Quantity].&amp;[32]"/>
            <x15:cachedUniqueName index="5" name="[Table1].[Quantity].&amp;[48]"/>
            <x15:cachedUniqueName index="6" name="[Table1].[Quantity].&amp;[96]"/>
            <x15:cachedUniqueName index="7" name="[Table1].[Quantity].&amp;[100]"/>
            <x15:cachedUniqueName index="8" name="[Table1].[Quantity].&amp;[192]"/>
            <x15:cachedUniqueName index="9" name="[Table1].[Quantity].&amp;[432]"/>
          </x15:cachedUniqueNames>
        </ext>
      </extLst>
    </cacheField>
    <cacheField name="[Measures].[Sum of total seals]" caption="Sum of total seals" numFmtId="0" hierarchy="14" level="32767"/>
    <cacheField name="[Table1].[Description].[Description]" caption="Description" numFmtId="0" hierarchy="4" level="1">
      <sharedItems containsSemiMixedTypes="0" containsNonDate="0" containsString="0"/>
    </cacheField>
  </cacheFields>
  <cacheHierarchies count="16">
    <cacheHierarchy uniqueName="[Table1].[hour]" caption="hour" attribute="1" defaultMemberUniqueName="[Table1].[hour].[All]" allUniqueName="[Table1].[hour].[All]" dimensionUniqueName="[Table1]" displayFolder="" count="0" memberValueDatatype="130" unbalanced="0"/>
    <cacheHierarchy uniqueName="[Table1].[total seals]" caption="total seals" attribute="1" defaultMemberUniqueName="[Table1].[total seals].[All]" allUniqueName="[Table1].[total seals].[All]" dimensionUniqueName="[Table1]" displayFolder="" count="0" memberValueDatatype="5" unbalanced="0"/>
    <cacheHierarchy uniqueName="[Table1].[InvoiceNo]" caption="InvoiceNo" attribute="1" defaultMemberUniqueName="[Table1].[InvoiceNo].[All]" allUniqueName="[Table1].[InvoiceNo].[All]" dimensionUniqueName="[Table1]" displayFolder="" count="0" memberValueDatatype="130" unbalanced="0"/>
    <cacheHierarchy uniqueName="[Table1].[StockCode]" caption="StockCode" attribute="1" defaultMemberUniqueName="[Table1].[StockCode].[All]" allUniqueName="[Table1].[StockCode].[All]" dimensionUniqueName="[Table1]" displayFolder="" count="0" memberValueDatatype="130" unbalanced="0"/>
    <cacheHierarchy uniqueName="[Table1].[Description]" caption="Description" attribute="1" defaultMemberUniqueName="[Table1].[Description].[All]" allUniqueName="[Table1].[Description].[All]" dimensionUniqueName="[Table1]" displayFolder="" count="2" memberValueDatatype="130" unbalanced="0">
      <fieldsUsage count="2">
        <fieldUsage x="-1"/>
        <fieldUsage x="2"/>
      </fieldsUsage>
    </cacheHierarchy>
    <cacheHierarchy uniqueName="[Table1].[Quantity]" caption="Quantity" attribute="1" defaultMemberUniqueName="[Table1].[Quantity].[All]" allUniqueName="[Table1].[Quantity].[All]" dimensionUniqueName="[Table1]" displayFolder="" count="2" memberValueDatatype="20" unbalanced="0">
      <fieldsUsage count="2">
        <fieldUsage x="-1"/>
        <fieldUsage x="0"/>
      </fieldsUsage>
    </cacheHierarchy>
    <cacheHierarchy uniqueName="[Table1].[InvoiceDate]" caption="InvoiceDate" attribute="1" time="1" defaultMemberUniqueName="[Table1].[InvoiceDate].[All]" allUniqueName="[Table1].[InvoiceDate].[All]" dimensionUniqueName="[Table1]" displayFolder="" count="0" memberValueDatatype="7" unbalanced="0"/>
    <cacheHierarchy uniqueName="[Table1].[UnitPrice]" caption="UnitPrice" attribute="1" defaultMemberUniqueName="[Table1].[UnitPrice].[All]" allUniqueName="[Table1].[UnitPrice].[All]" dimensionUniqueName="[Table1]" displayFolder="" count="0" memberValueDatatype="5" unbalanced="0"/>
    <cacheHierarchy uniqueName="[Table1].[CustomerID]" caption="CustomerID" attribute="1" defaultMemberUniqueName="[Table1].[CustomerID].[All]" allUniqueName="[Table1].[CustomerID].[All]" dimensionUniqueName="[Table1]" displayFolder="" count="0" memberValueDatatype="20" unbalanced="0"/>
    <cacheHierarchy uniqueName="[Table1].[Country]" caption="Country" attribute="1" defaultMemberUniqueName="[Table1].[Country].[All]" allUniqueName="[Table1].[Country].[All]" dimensionUniqueName="[Table1]" displayFolder="" count="2" memberValueDatatype="130" unbalanced="0"/>
    <cacheHierarchy uniqueName="[Table1].[InvoiceDate (Hour)]" caption="InvoiceDate (Hour)" attribute="1" defaultMemberUniqueName="[Table1].[InvoiceDate (Hour)].[All]" allUniqueName="[Table1].[InvoiceDate (Hour)].[All]" dimensionUniqueName="[Table1]" displayFolder="" count="0" memberValueDatatype="130" unbalanced="0"/>
    <cacheHierarchy uniqueName="[Table1].[InvoiceDate (Minute)]" caption="InvoiceDate (Minute)" attribute="1" defaultMemberUniqueName="[Table1].[InvoiceDate (Minute)].[All]" allUniqueName="[Table1].[InvoiceDate (Minute)].[All]" dimensionUniqueName="[Table1]" displayFolder="" count="0" memberValueDatatype="13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total seals]" caption="Sum of total seals" measure="1" displayFolder="" measureGroup="Table1" count="0" oneField="1" hidden="1">
      <fieldsUsage count="1">
        <fieldUsage x="1"/>
      </fieldsUsage>
      <extLst>
        <ext xmlns:x15="http://schemas.microsoft.com/office/spreadsheetml/2010/11/main" uri="{B97F6D7D-B522-45F9-BDA1-12C45D357490}">
          <x15:cacheHierarchy aggregatedColumn="1"/>
        </ext>
      </extLst>
    </cacheHierarchy>
    <cacheHierarchy uniqueName="[Measures].[Sum of Quantity]" caption="Sum of Quantity" measure="1" displayFolder="" measureGroup="Table1" count="0" hidden="1">
      <extLst>
        <ext xmlns:x15="http://schemas.microsoft.com/office/spreadsheetml/2010/11/main" uri="{B97F6D7D-B522-45F9-BDA1-12C45D357490}">
          <x15:cacheHierarchy aggregatedColumn="5"/>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oni" refreshedDate="46147.907844791669" backgroundQuery="1" createdVersion="8" refreshedVersion="8" minRefreshableVersion="3" recordCount="0" supportSubquery="1" supportAdvancedDrill="1" xr:uid="{BA5F7358-9E55-48FD-AE6F-3BF5DC423E3D}">
  <cacheSource type="external" connectionId="1"/>
  <cacheFields count="3">
    <cacheField name="[Table1].[CustomerID].[CustomerID]" caption="CustomerID" numFmtId="0" hierarchy="8" level="1">
      <sharedItems containsSemiMixedTypes="0" containsString="0" containsNumber="1" containsInteger="1" minValue="12583" maxValue="18074" count="10">
        <n v="12583"/>
        <n v="13408"/>
        <n v="13767"/>
        <n v="14688"/>
        <n v="15311"/>
        <n v="16029"/>
        <n v="16098"/>
        <n v="17511"/>
        <n v="17850"/>
        <n v="18074"/>
      </sharedItems>
      <extLst>
        <ext xmlns:x15="http://schemas.microsoft.com/office/spreadsheetml/2010/11/main" uri="{4F2E5C28-24EA-4eb8-9CBF-B6C8F9C3D259}">
          <x15:cachedUniqueNames>
            <x15:cachedUniqueName index="0" name="[Table1].[CustomerID].&amp;[12583]"/>
            <x15:cachedUniqueName index="1" name="[Table1].[CustomerID].&amp;[13408]"/>
            <x15:cachedUniqueName index="2" name="[Table1].[CustomerID].&amp;[13767]"/>
            <x15:cachedUniqueName index="3" name="[Table1].[CustomerID].&amp;[14688]"/>
            <x15:cachedUniqueName index="4" name="[Table1].[CustomerID].&amp;[15311]"/>
            <x15:cachedUniqueName index="5" name="[Table1].[CustomerID].&amp;[16029]"/>
            <x15:cachedUniqueName index="6" name="[Table1].[CustomerID].&amp;[16098]"/>
            <x15:cachedUniqueName index="7" name="[Table1].[CustomerID].&amp;[17511]"/>
            <x15:cachedUniqueName index="8" name="[Table1].[CustomerID].&amp;[17850]"/>
            <x15:cachedUniqueName index="9" name="[Table1].[CustomerID].&amp;[18074]"/>
          </x15:cachedUniqueNames>
        </ext>
      </extLst>
    </cacheField>
    <cacheField name="[Measures].[Sum of total seals]" caption="Sum of total seals" numFmtId="0" hierarchy="14" level="32767"/>
    <cacheField name="[Table1].[Description].[Description]" caption="Description" numFmtId="0" hierarchy="4" level="1">
      <sharedItems containsSemiMixedTypes="0" containsNonDate="0" containsString="0"/>
    </cacheField>
  </cacheFields>
  <cacheHierarchies count="16">
    <cacheHierarchy uniqueName="[Table1].[hour]" caption="hour" attribute="1" defaultMemberUniqueName="[Table1].[hour].[All]" allUniqueName="[Table1].[hour].[All]" dimensionUniqueName="[Table1]" displayFolder="" count="0" memberValueDatatype="130" unbalanced="0"/>
    <cacheHierarchy uniqueName="[Table1].[total seals]" caption="total seals" attribute="1" defaultMemberUniqueName="[Table1].[total seals].[All]" allUniqueName="[Table1].[total seals].[All]" dimensionUniqueName="[Table1]" displayFolder="" count="0" memberValueDatatype="5" unbalanced="0"/>
    <cacheHierarchy uniqueName="[Table1].[InvoiceNo]" caption="InvoiceNo" attribute="1" defaultMemberUniqueName="[Table1].[InvoiceNo].[All]" allUniqueName="[Table1].[InvoiceNo].[All]" dimensionUniqueName="[Table1]" displayFolder="" count="0" memberValueDatatype="130" unbalanced="0"/>
    <cacheHierarchy uniqueName="[Table1].[StockCode]" caption="StockCode" attribute="1" defaultMemberUniqueName="[Table1].[StockCode].[All]" allUniqueName="[Table1].[StockCode].[All]" dimensionUniqueName="[Table1]" displayFolder="" count="0" memberValueDatatype="130" unbalanced="0"/>
    <cacheHierarchy uniqueName="[Table1].[Description]" caption="Description" attribute="1" defaultMemberUniqueName="[Table1].[Description].[All]" allUniqueName="[Table1].[Description].[All]" dimensionUniqueName="[Table1]" displayFolder="" count="2" memberValueDatatype="130" unbalanced="0">
      <fieldsUsage count="2">
        <fieldUsage x="-1"/>
        <fieldUsage x="2"/>
      </fieldsUsage>
    </cacheHierarchy>
    <cacheHierarchy uniqueName="[Table1].[Quantity]" caption="Quantity" attribute="1" defaultMemberUniqueName="[Table1].[Quantity].[All]" allUniqueName="[Table1].[Quantity].[All]" dimensionUniqueName="[Table1]" displayFolder="" count="0" memberValueDatatype="20" unbalanced="0"/>
    <cacheHierarchy uniqueName="[Table1].[InvoiceDate]" caption="InvoiceDate" attribute="1" time="1" defaultMemberUniqueName="[Table1].[InvoiceDate].[All]" allUniqueName="[Table1].[InvoiceDate].[All]" dimensionUniqueName="[Table1]" displayFolder="" count="0" memberValueDatatype="7" unbalanced="0"/>
    <cacheHierarchy uniqueName="[Table1].[UnitPrice]" caption="UnitPrice" attribute="1" defaultMemberUniqueName="[Table1].[UnitPrice].[All]" allUniqueName="[Table1].[UnitPrice].[All]" dimensionUniqueName="[Table1]" displayFolder="" count="0" memberValueDatatype="5" unbalanced="0"/>
    <cacheHierarchy uniqueName="[Table1].[CustomerID]" caption="CustomerID" attribute="1" defaultMemberUniqueName="[Table1].[CustomerID].[All]" allUniqueName="[Table1].[CustomerID].[All]" dimensionUniqueName="[Table1]" displayFolder="" count="2" memberValueDatatype="20" unbalanced="0">
      <fieldsUsage count="2">
        <fieldUsage x="-1"/>
        <fieldUsage x="0"/>
      </fieldsUsage>
    </cacheHierarchy>
    <cacheHierarchy uniqueName="[Table1].[Country]" caption="Country" attribute="1" defaultMemberUniqueName="[Table1].[Country].[All]" allUniqueName="[Table1].[Country].[All]" dimensionUniqueName="[Table1]" displayFolder="" count="2" memberValueDatatype="130" unbalanced="0"/>
    <cacheHierarchy uniqueName="[Table1].[InvoiceDate (Hour)]" caption="InvoiceDate (Hour)" attribute="1" defaultMemberUniqueName="[Table1].[InvoiceDate (Hour)].[All]" allUniqueName="[Table1].[InvoiceDate (Hour)].[All]" dimensionUniqueName="[Table1]" displayFolder="" count="0" memberValueDatatype="130" unbalanced="0"/>
    <cacheHierarchy uniqueName="[Table1].[InvoiceDate (Minute)]" caption="InvoiceDate (Minute)" attribute="1" defaultMemberUniqueName="[Table1].[InvoiceDate (Minute)].[All]" allUniqueName="[Table1].[InvoiceDate (Minute)].[All]" dimensionUniqueName="[Table1]" displayFolder="" count="0" memberValueDatatype="13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total seals]" caption="Sum of total seals" measure="1" displayFolder="" measureGroup="Table1" count="0" oneField="1" hidden="1">
      <fieldsUsage count="1">
        <fieldUsage x="1"/>
      </fieldsUsage>
      <extLst>
        <ext xmlns:x15="http://schemas.microsoft.com/office/spreadsheetml/2010/11/main" uri="{B97F6D7D-B522-45F9-BDA1-12C45D357490}">
          <x15:cacheHierarchy aggregatedColumn="1"/>
        </ext>
      </extLst>
    </cacheHierarchy>
    <cacheHierarchy uniqueName="[Measures].[Sum of Quantity]" caption="Sum of Quantity" measure="1" displayFolder="" measureGroup="Table1" count="0" hidden="1">
      <extLst>
        <ext xmlns:x15="http://schemas.microsoft.com/office/spreadsheetml/2010/11/main" uri="{B97F6D7D-B522-45F9-BDA1-12C45D357490}">
          <x15:cacheHierarchy aggregatedColumn="5"/>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oni" refreshedDate="46147.907870717594" backgroundQuery="1" createdVersion="8" refreshedVersion="8" minRefreshableVersion="3" recordCount="0" supportSubquery="1" supportAdvancedDrill="1" xr:uid="{C0BE93EA-4533-4961-A1A8-26F9998DB34D}">
  <cacheSource type="external" connectionId="1"/>
  <cacheFields count="2">
    <cacheField name="[Table1].[Description].[Description]" caption="Description" numFmtId="0" hierarchy="4" level="1">
      <sharedItems count="10">
        <s v="CHILLI LIGHTS"/>
        <s v="FAIRY TALE COTTAGE NIGHTLIGHT"/>
        <s v="HAND WARMER SCOTTY DOG DESIGN"/>
        <s v="JUMBO BAG RED RETROSPOT"/>
        <s v="LIGHT GARLAND BUTTERFILES PINK"/>
        <s v="RED TOADSTOOL LED NIGHT LIGHT"/>
        <s v="SET OF 3 COLOURED  FLYING DUCKS"/>
        <s v="VICTORIAN SEWING BOX LARGE"/>
        <s v="WHITE HANGING HEART T-LIGHT HOLDER"/>
        <s v="WOODEN OWLS LIGHT GARLAND"/>
      </sharedItems>
    </cacheField>
    <cacheField name="[Measures].[Sum of total seals]" caption="Sum of total seals" numFmtId="0" hierarchy="14" level="32767"/>
  </cacheFields>
  <cacheHierarchies count="16">
    <cacheHierarchy uniqueName="[Table1].[hour]" caption="hour" attribute="1" defaultMemberUniqueName="[Table1].[hour].[All]" allUniqueName="[Table1].[hour].[All]" dimensionUniqueName="[Table1]" displayFolder="" count="0" memberValueDatatype="130" unbalanced="0"/>
    <cacheHierarchy uniqueName="[Table1].[total seals]" caption="total seals" attribute="1" defaultMemberUniqueName="[Table1].[total seals].[All]" allUniqueName="[Table1].[total seals].[All]" dimensionUniqueName="[Table1]" displayFolder="" count="0" memberValueDatatype="5" unbalanced="0"/>
    <cacheHierarchy uniqueName="[Table1].[InvoiceNo]" caption="InvoiceNo" attribute="1" defaultMemberUniqueName="[Table1].[InvoiceNo].[All]" allUniqueName="[Table1].[InvoiceNo].[All]" dimensionUniqueName="[Table1]" displayFolder="" count="0" memberValueDatatype="130" unbalanced="0"/>
    <cacheHierarchy uniqueName="[Table1].[StockCode]" caption="StockCode" attribute="1" defaultMemberUniqueName="[Table1].[StockCode].[All]" allUniqueName="[Table1].[StockCode].[All]" dimensionUniqueName="[Table1]" displayFolder="" count="0" memberValueDatatype="130" unbalanced="0"/>
    <cacheHierarchy uniqueName="[Table1].[Description]" caption="Description" attribute="1" defaultMemberUniqueName="[Table1].[Description].[All]" allUniqueName="[Table1].[Description].[All]" dimensionUniqueName="[Table1]" displayFolder="" count="2" memberValueDatatype="130" unbalanced="0">
      <fieldsUsage count="2">
        <fieldUsage x="-1"/>
        <fieldUsage x="0"/>
      </fieldsUsage>
    </cacheHierarchy>
    <cacheHierarchy uniqueName="[Table1].[Quantity]" caption="Quantity" attribute="1" defaultMemberUniqueName="[Table1].[Quantity].[All]" allUniqueName="[Table1].[Quantity].[All]" dimensionUniqueName="[Table1]" displayFolder="" count="0" memberValueDatatype="20" unbalanced="0"/>
    <cacheHierarchy uniqueName="[Table1].[InvoiceDate]" caption="InvoiceDate" attribute="1" time="1" defaultMemberUniqueName="[Table1].[InvoiceDate].[All]" allUniqueName="[Table1].[InvoiceDate].[All]" dimensionUniqueName="[Table1]" displayFolder="" count="0" memberValueDatatype="7" unbalanced="0"/>
    <cacheHierarchy uniqueName="[Table1].[UnitPrice]" caption="UnitPrice" attribute="1" defaultMemberUniqueName="[Table1].[UnitPrice].[All]" allUniqueName="[Table1].[UnitPrice].[All]" dimensionUniqueName="[Table1]" displayFolder="" count="0" memberValueDatatype="5" unbalanced="0"/>
    <cacheHierarchy uniqueName="[Table1].[CustomerID]" caption="CustomerID" attribute="1" defaultMemberUniqueName="[Table1].[CustomerID].[All]" allUniqueName="[Table1].[CustomerID].[All]" dimensionUniqueName="[Table1]" displayFolder="" count="0" memberValueDatatype="20" unbalanced="0"/>
    <cacheHierarchy uniqueName="[Table1].[Country]" caption="Country" attribute="1" defaultMemberUniqueName="[Table1].[Country].[All]" allUniqueName="[Table1].[Country].[All]" dimensionUniqueName="[Table1]" displayFolder="" count="2" memberValueDatatype="130" unbalanced="0"/>
    <cacheHierarchy uniqueName="[Table1].[InvoiceDate (Hour)]" caption="InvoiceDate (Hour)" attribute="1" defaultMemberUniqueName="[Table1].[InvoiceDate (Hour)].[All]" allUniqueName="[Table1].[InvoiceDate (Hour)].[All]" dimensionUniqueName="[Table1]" displayFolder="" count="0" memberValueDatatype="130" unbalanced="0"/>
    <cacheHierarchy uniqueName="[Table1].[InvoiceDate (Minute)]" caption="InvoiceDate (Minute)" attribute="1" defaultMemberUniqueName="[Table1].[InvoiceDate (Minute)].[All]" allUniqueName="[Table1].[InvoiceDate (Minute)].[All]" dimensionUniqueName="[Table1]" displayFolder="" count="0" memberValueDatatype="13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total seals]" caption="Sum of total seals" measure="1" displayFolder="" measureGroup="Table1" count="0" oneField="1" hidden="1">
      <fieldsUsage count="1">
        <fieldUsage x="1"/>
      </fieldsUsage>
      <extLst>
        <ext xmlns:x15="http://schemas.microsoft.com/office/spreadsheetml/2010/11/main" uri="{B97F6D7D-B522-45F9-BDA1-12C45D357490}">
          <x15:cacheHierarchy aggregatedColumn="1"/>
        </ext>
      </extLst>
    </cacheHierarchy>
    <cacheHierarchy uniqueName="[Measures].[Sum of Quantity]" caption="Sum of Quantity" measure="1" displayFolder="" measureGroup="Table1" count="0" hidden="1">
      <extLst>
        <ext xmlns:x15="http://schemas.microsoft.com/office/spreadsheetml/2010/11/main" uri="{B97F6D7D-B522-45F9-BDA1-12C45D357490}">
          <x15:cacheHierarchy aggregatedColumn="5"/>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oni" refreshedDate="46147.905056481482" backgroundQuery="1" createdVersion="3" refreshedVersion="8" minRefreshableVersion="3" recordCount="0" supportSubquery="1" supportAdvancedDrill="1" xr:uid="{B70DF2D5-B851-49F7-880C-7F7BF26C9593}">
  <cacheSource type="external" connectionId="1">
    <extLst>
      <ext xmlns:x14="http://schemas.microsoft.com/office/spreadsheetml/2009/9/main" uri="{F057638F-6D5F-4e77-A914-E7F072B9BCA8}">
        <x14:sourceConnection name="ThisWorkbookDataModel"/>
      </ext>
    </extLst>
  </cacheSource>
  <cacheFields count="0"/>
  <cacheHierarchies count="16">
    <cacheHierarchy uniqueName="[Table1].[hour]" caption="hour" attribute="1" defaultMemberUniqueName="[Table1].[hour].[All]" allUniqueName="[Table1].[hour].[All]" dimensionUniqueName="[Table1]" displayFolder="" count="0" memberValueDatatype="130" unbalanced="0"/>
    <cacheHierarchy uniqueName="[Table1].[total seals]" caption="total seals" attribute="1" defaultMemberUniqueName="[Table1].[total seals].[All]" allUniqueName="[Table1].[total seals].[All]" dimensionUniqueName="[Table1]" displayFolder="" count="0" memberValueDatatype="5" unbalanced="0"/>
    <cacheHierarchy uniqueName="[Table1].[InvoiceNo]" caption="InvoiceNo" attribute="1" defaultMemberUniqueName="[Table1].[InvoiceNo].[All]" allUniqueName="[Table1].[InvoiceNo].[All]" dimensionUniqueName="[Table1]" displayFolder="" count="0" memberValueDatatype="130" unbalanced="0"/>
    <cacheHierarchy uniqueName="[Table1].[StockCode]" caption="StockCode" attribute="1" defaultMemberUniqueName="[Table1].[StockCode].[All]" allUniqueName="[Table1].[StockCode].[All]" dimensionUniqueName="[Table1]" displayFolder="" count="0" memberValueDatatype="130" unbalanced="0"/>
    <cacheHierarchy uniqueName="[Table1].[Description]" caption="Description" attribute="1" defaultMemberUniqueName="[Table1].[Description].[All]" allUniqueName="[Table1].[Description].[All]" dimensionUniqueName="[Table1]" displayFolder="" count="2" memberValueDatatype="130" unbalanced="0"/>
    <cacheHierarchy uniqueName="[Table1].[Quantity]" caption="Quantity" attribute="1" defaultMemberUniqueName="[Table1].[Quantity].[All]" allUniqueName="[Table1].[Quantity].[All]" dimensionUniqueName="[Table1]" displayFolder="" count="0" memberValueDatatype="20" unbalanced="0"/>
    <cacheHierarchy uniqueName="[Table1].[InvoiceDate]" caption="InvoiceDate" attribute="1" time="1" defaultMemberUniqueName="[Table1].[InvoiceDate].[All]" allUniqueName="[Table1].[InvoiceDate].[All]" dimensionUniqueName="[Table1]" displayFolder="" count="0" memberValueDatatype="7" unbalanced="0"/>
    <cacheHierarchy uniqueName="[Table1].[UnitPrice]" caption="UnitPrice" attribute="1" defaultMemberUniqueName="[Table1].[UnitPrice].[All]" allUniqueName="[Table1].[UnitPrice].[All]" dimensionUniqueName="[Table1]" displayFolder="" count="0" memberValueDatatype="5" unbalanced="0"/>
    <cacheHierarchy uniqueName="[Table1].[CustomerID]" caption="CustomerID" attribute="1" defaultMemberUniqueName="[Table1].[CustomerID].[All]" allUniqueName="[Table1].[CustomerID].[All]" dimensionUniqueName="[Table1]" displayFolder="" count="0" memberValueDatatype="20" unbalanced="0"/>
    <cacheHierarchy uniqueName="[Table1].[Country]" caption="Country" attribute="1" defaultMemberUniqueName="[Table1].[Country].[All]" allUniqueName="[Table1].[Country].[All]" dimensionUniqueName="[Table1]" displayFolder="" count="2" memberValueDatatype="130" unbalanced="0"/>
    <cacheHierarchy uniqueName="[Table1].[InvoiceDate (Hour)]" caption="InvoiceDate (Hour)" attribute="1" defaultMemberUniqueName="[Table1].[InvoiceDate (Hour)].[All]" allUniqueName="[Table1].[InvoiceDate (Hour)].[All]" dimensionUniqueName="[Table1]" displayFolder="" count="0" memberValueDatatype="130" unbalanced="0"/>
    <cacheHierarchy uniqueName="[Table1].[InvoiceDate (Minute)]" caption="InvoiceDate (Minute)" attribute="1" defaultMemberUniqueName="[Table1].[InvoiceDate (Minute)].[All]" allUniqueName="[Table1].[InvoiceDate (Minute)].[All]" dimensionUniqueName="[Table1]" displayFolder="" count="0" memberValueDatatype="13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total seals]" caption="Sum of total seals" measure="1" displayFolder="" measureGroup="Table1" count="0" hidden="1">
      <extLst>
        <ext xmlns:x15="http://schemas.microsoft.com/office/spreadsheetml/2010/11/main" uri="{B97F6D7D-B522-45F9-BDA1-12C45D357490}">
          <x15:cacheHierarchy aggregatedColumn="1"/>
        </ext>
      </extLst>
    </cacheHierarchy>
    <cacheHierarchy uniqueName="[Measures].[Sum of Quantity]" caption="Sum of Quantity" measure="1" displayFolder="" measureGroup="Table1" count="0" hidden="1">
      <extLst>
        <ext xmlns:x15="http://schemas.microsoft.com/office/spreadsheetml/2010/11/main" uri="{B97F6D7D-B522-45F9-BDA1-12C45D357490}">
          <x15:cacheHierarchy aggregatedColumn="5"/>
        </ext>
      </extLst>
    </cacheHierarchy>
  </cacheHierarchies>
  <kpis count="0"/>
  <extLst>
    <ext xmlns:x14="http://schemas.microsoft.com/office/spreadsheetml/2009/9/main" uri="{725AE2AE-9491-48be-B2B4-4EB974FC3084}">
      <x14:pivotCacheDefinition slicerData="1" pivotCacheId="2004931812"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6C01A8-3D7E-47A0-B246-8A2DCD8680C8}" name="PivotTable7" cacheId="46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2">
  <location ref="I117:J128" firstHeaderRow="1" firstDataRow="1" firstDataCol="1"/>
  <pivotFields count="3">
    <pivotField axis="axisRow" allDrilled="1" subtotalTop="0" showAll="0" measureFilter="1" dataSourceSort="1" defaultSubtotal="0" defaultAttributeDrillState="1">
      <items count="10">
        <item x="0"/>
        <item x="1"/>
        <item x="2"/>
        <item x="3"/>
        <item x="4"/>
        <item x="5"/>
        <item x="6"/>
        <item x="7"/>
        <item x="8"/>
        <item x="9"/>
      </items>
    </pivotField>
    <pivotField dataField="1" subtotalTop="0" showAll="0" defaultSubtotal="0"/>
    <pivotField allDrilled="1" subtotalTop="0" showAll="0" dataSourceSort="1" defaultSubtotal="0" defaultAttributeDrillState="1"/>
  </pivotFields>
  <rowFields count="1">
    <field x="0"/>
  </rowFields>
  <rowItems count="11">
    <i>
      <x/>
    </i>
    <i>
      <x v="1"/>
    </i>
    <i>
      <x v="2"/>
    </i>
    <i>
      <x v="3"/>
    </i>
    <i>
      <x v="4"/>
    </i>
    <i>
      <x v="5"/>
    </i>
    <i>
      <x v="6"/>
    </i>
    <i>
      <x v="7"/>
    </i>
    <i>
      <x v="8"/>
    </i>
    <i>
      <x v="9"/>
    </i>
    <i t="grand">
      <x/>
    </i>
  </rowItems>
  <colItems count="1">
    <i/>
  </colItems>
  <dataFields count="1">
    <dataField name="Sum of total seals" fld="1" baseField="0" baseItem="0"/>
  </dataFields>
  <chartFormats count="2">
    <chartFormat chart="9" format="0"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s>
  <pivotHierarchies count="16">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filters count="1">
    <filter fld="0" type="count" id="1" iMeasureHier="14">
      <autoFilter ref="A1">
        <filterColumn colId="0">
          <top10 val="10" filterVal="10"/>
        </filterColumn>
      </autoFilter>
    </filter>
  </filters>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roject.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7A9BEF4-2BB4-419E-950E-FCCB0BBAC1F6}" name="PivotTable6" cacheId="46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0">
  <location ref="I96:J107" firstHeaderRow="1" firstDataRow="1" firstDataCol="1"/>
  <pivotFields count="3">
    <pivotField axis="axisRow" allDrilled="1" subtotalTop="0" showAll="0" measureFilter="1" dataSourceSort="1" defaultSubtotal="0" defaultAttributeDrillState="1">
      <items count="10">
        <item x="0"/>
        <item x="1"/>
        <item x="2"/>
        <item x="3"/>
        <item x="4"/>
        <item x="5"/>
        <item x="6"/>
        <item x="7"/>
        <item x="8"/>
        <item x="9"/>
      </items>
    </pivotField>
    <pivotField dataField="1" subtotalTop="0" showAll="0" defaultSubtotal="0"/>
    <pivotField allDrilled="1" subtotalTop="0" showAll="0" dataSourceSort="1" defaultSubtotal="0" defaultAttributeDrillState="1"/>
  </pivotFields>
  <rowFields count="1">
    <field x="0"/>
  </rowFields>
  <rowItems count="11">
    <i>
      <x/>
    </i>
    <i>
      <x v="1"/>
    </i>
    <i>
      <x v="2"/>
    </i>
    <i>
      <x v="3"/>
    </i>
    <i>
      <x v="4"/>
    </i>
    <i>
      <x v="5"/>
    </i>
    <i>
      <x v="6"/>
    </i>
    <i>
      <x v="7"/>
    </i>
    <i>
      <x v="8"/>
    </i>
    <i>
      <x v="9"/>
    </i>
    <i t="grand">
      <x/>
    </i>
  </rowItems>
  <colItems count="1">
    <i/>
  </colItems>
  <dataFields count="1">
    <dataField name="Sum of total seals" fld="1" baseField="0" baseItem="0"/>
  </dataFields>
  <chartFormats count="1">
    <chartFormat chart="6" format="2" series="1">
      <pivotArea type="data" outline="0" fieldPosition="0">
        <references count="1">
          <reference field="4294967294" count="1" selected="0">
            <x v="0"/>
          </reference>
        </references>
      </pivotArea>
    </chartFormat>
  </chartFormats>
  <pivotHierarchies count="16">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filters count="1">
    <filter fld="0" type="count" id="1" iMeasureHier="14">
      <autoFilter ref="A1">
        <filterColumn colId="0">
          <top10 val="10" filterVal="10"/>
        </filterColumn>
      </autoFilter>
    </filter>
  </filters>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roject.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35BFB3C-5799-4406-9D2D-1EE673A745A6}" name="PivotTable5" cacheId="46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6">
  <location ref="I62:J66" firstHeaderRow="1" firstDataRow="1" firstDataCol="1"/>
  <pivotFields count="3">
    <pivotField axis="axisRow" allDrilled="1" subtotalTop="0" showAll="0" dataSourceSort="1" defaultSubtotal="0" defaultAttributeDrillState="1">
      <items count="3">
        <item x="0"/>
        <item x="1"/>
        <item x="2"/>
      </items>
    </pivotField>
    <pivotField dataField="1" subtotalTop="0" showAll="0" defaultSubtotal="0"/>
    <pivotField allDrilled="1" subtotalTop="0" showAll="0" dataSourceSort="1" defaultSubtotal="0" defaultAttributeDrillState="1"/>
  </pivotFields>
  <rowFields count="1">
    <field x="0"/>
  </rowFields>
  <rowItems count="4">
    <i>
      <x/>
    </i>
    <i>
      <x v="1"/>
    </i>
    <i>
      <x v="2"/>
    </i>
    <i t="grand">
      <x/>
    </i>
  </rowItems>
  <colItems count="1">
    <i/>
  </colItems>
  <dataFields count="1">
    <dataField name="Sum of total seals" fld="1" baseField="0" baseItem="0"/>
  </dataFields>
  <chartFormats count="1">
    <chartFormat chart="5" format="2" series="1">
      <pivotArea type="data" outline="0" fieldPosition="0">
        <references count="1">
          <reference field="4294967294" count="1" selected="0">
            <x v="0"/>
          </reference>
        </references>
      </pivotArea>
    </chartFormat>
  </chartFormats>
  <pivotHierarchies count="16">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roject.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9A7C8F-A438-4EFA-BCF8-FB55337BE0A2}" name="PivotTable4" cacheId="47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9">
  <location ref="I35:J46" firstHeaderRow="1" firstDataRow="1" firstDataCol="1"/>
  <pivotFields count="2">
    <pivotField axis="axisRow" allDrilled="1" subtotalTop="0" showAll="0" measureFilter="1" dataSourceSort="1" defaultSubtotal="0" defaultAttributeDrillState="1">
      <items count="10">
        <item x="0"/>
        <item x="1"/>
        <item x="2"/>
        <item x="3"/>
        <item x="4"/>
        <item x="5"/>
        <item x="6"/>
        <item x="7"/>
        <item x="8"/>
        <item x="9"/>
      </items>
    </pivotField>
    <pivotField dataField="1" subtotalTop="0" showAll="0" defaultSubtotal="0"/>
  </pivotFields>
  <rowFields count="1">
    <field x="0"/>
  </rowFields>
  <rowItems count="11">
    <i>
      <x/>
    </i>
    <i>
      <x v="1"/>
    </i>
    <i>
      <x v="2"/>
    </i>
    <i>
      <x v="3"/>
    </i>
    <i>
      <x v="4"/>
    </i>
    <i>
      <x v="5"/>
    </i>
    <i>
      <x v="6"/>
    </i>
    <i>
      <x v="7"/>
    </i>
    <i>
      <x v="8"/>
    </i>
    <i>
      <x v="9"/>
    </i>
    <i t="grand">
      <x/>
    </i>
  </rowItems>
  <colItems count="1">
    <i/>
  </colItems>
  <dataFields count="1">
    <dataField name="Sum of total seals" fld="1" baseField="0" baseItem="0"/>
  </dataFields>
  <chartFormats count="1">
    <chartFormat chart="8" format="2" series="1">
      <pivotArea type="data" outline="0" fieldPosition="0">
        <references count="1">
          <reference field="4294967294" count="1" selected="0">
            <x v="0"/>
          </reference>
        </references>
      </pivotArea>
    </chartFormat>
  </chartFormats>
  <pivotHierarchies count="16">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filters count="1">
    <filter fld="0" type="count" id="1" iMeasureHier="14">
      <autoFilter ref="A1">
        <filterColumn colId="0">
          <top10 val="10" filterVal="10"/>
        </filterColumn>
      </autoFilter>
    </filter>
  </filters>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roject.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7622C21-0CB7-4FC6-9A07-79EC3EA9BBF5}" name="PivotTable1" cacheId="47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20">
  <location ref="I7:J11" firstHeaderRow="1" firstDataRow="1" firstDataCol="1"/>
  <pivotFields count="3">
    <pivotField axis="axisRow" allDrilled="1" subtotalTop="0" showAll="0" sortType="ascending" defaultSubtotal="0" defaultAttributeDrillState="1">
      <items count="3">
        <item x="0"/>
        <item x="1"/>
        <item x="2"/>
      </items>
    </pivotField>
    <pivotField dataField="1" subtotalTop="0" showAll="0" defaultSubtotal="0"/>
    <pivotField allDrilled="1" subtotalTop="0" showAll="0" dataSourceSort="1" defaultSubtotal="0" defaultAttributeDrillState="1"/>
  </pivotFields>
  <rowFields count="1">
    <field x="0"/>
  </rowFields>
  <rowItems count="4">
    <i>
      <x/>
    </i>
    <i>
      <x v="1"/>
    </i>
    <i>
      <x v="2"/>
    </i>
    <i t="grand">
      <x/>
    </i>
  </rowItems>
  <colItems count="1">
    <i/>
  </colItems>
  <dataFields count="1">
    <dataField name="Sum of total seals" fld="1" baseField="0" baseItem="0"/>
  </dataFields>
  <chartFormats count="1">
    <chartFormat chart="19" format="2" series="1">
      <pivotArea type="data" outline="0" fieldPosition="0">
        <references count="1">
          <reference field="4294967294" count="1" selected="0">
            <x v="0"/>
          </reference>
        </references>
      </pivotArea>
    </chartFormat>
  </chartFormats>
  <pivotHierarchies count="16">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roject.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5AD10284-DC11-401E-B6B7-60BD248B2141}" sourceName="[Table1].[Country]">
  <pivotTables>
    <pivotTable tabId="7" name="PivotTable5"/>
    <pivotTable tabId="7" name="PivotTable1"/>
    <pivotTable tabId="7" name="PivotTable4"/>
    <pivotTable tabId="7" name="PivotTable6"/>
    <pivotTable tabId="7" name="PivotTable7"/>
  </pivotTables>
  <data>
    <olap pivotCacheId="2004931812">
      <levels count="2">
        <level uniqueName="[Table1].[Country].[(All)]" sourceCaption="(All)" count="0"/>
        <level uniqueName="[Table1].[Country].[Country]" sourceCaption="Country" count="3">
          <ranges>
            <range startItem="0">
              <i n="[Table1].[Country].&amp;[Australia]" c="Australia"/>
              <i n="[Table1].[Country].&amp;[France]" c="France"/>
              <i n="[Table1].[Country].&amp;[United Kingdom]" c="United Kingdom"/>
            </range>
          </ranges>
        </level>
      </levels>
      <selections count="1">
        <selection n="[Table1].[Countr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scription" xr10:uid="{B56BF716-E070-4B07-A25D-FCE263FE357B}" sourceName="[Table1].[Description]">
  <pivotTables>
    <pivotTable tabId="7" name="PivotTable1"/>
    <pivotTable tabId="7" name="PivotTable4"/>
    <pivotTable tabId="7" name="PivotTable5"/>
    <pivotTable tabId="7" name="PivotTable6"/>
    <pivotTable tabId="7" name="PivotTable7"/>
  </pivotTables>
  <data>
    <olap pivotCacheId="2004931812">
      <levels count="2">
        <level uniqueName="[Table1].[Description].[(All)]" sourceCaption="(All)" count="0"/>
        <level uniqueName="[Table1].[Description].[Description]" sourceCaption="Description" count="214">
          <ranges>
            <range startItem="0">
              <i n="[Table1].[Description].&amp;[ SET 2 TEA TOWELS I LOVE LONDON]" c=" SET 2 TEA TOWELS I LOVE LONDON"/>
              <i n="[Table1].[Description].&amp;[3 STRIPEY MICE FELTCRAFT]" c="3 STRIPEY MICE FELTCRAFT"/>
              <i n="[Table1].[Description].&amp;[3 TIER CAKE TIN GREEN AND CREAM]" c="3 TIER CAKE TIN GREEN AND CREAM"/>
              <i n="[Table1].[Description].&amp;[3 TIER CAKE TIN RED AND CREAM]" c="3 TIER CAKE TIN RED AND CREAM"/>
              <i n="[Table1].[Description].&amp;[5 HOOK HANGER MAGIC TOADSTOOL]" c="5 HOOK HANGER MAGIC TOADSTOOL"/>
              <i n="[Table1].[Description].&amp;[60 TEATIME FAIRY CAKE CASES]" c="60 TEATIME FAIRY CAKE CASES"/>
              <i n="[Table1].[Description].&amp;[AIRLINE LOUNGE,METAL SIGN]" c="AIRLINE LOUNGE,METAL SIGN"/>
              <i n="[Table1].[Description].&amp;[ALARM CLOCK BAKELIKE GREEN]" c="ALARM CLOCK BAKELIKE GREEN"/>
              <i n="[Table1].[Description].&amp;[ALARM CLOCK BAKELIKE IVORY]" c="ALARM CLOCK BAKELIKE IVORY"/>
              <i n="[Table1].[Description].&amp;[ALARM CLOCK BAKELIKE ORANGE]" c="ALARM CLOCK BAKELIKE ORANGE"/>
              <i n="[Table1].[Description].&amp;[ALARM CLOCK BAKELIKE PINK]" c="ALARM CLOCK BAKELIKE PINK"/>
              <i n="[Table1].[Description].&amp;[ALARM CLOCK BAKELIKE RED]" c="ALARM CLOCK BAKELIKE RED"/>
              <i n="[Table1].[Description].&amp;[ANTIQUE GLASS DRESSING TABLE POT]" c="ANTIQUE GLASS DRESSING TABLE POT"/>
              <i n="[Table1].[Description].&amp;[ASSORTED BOTTLE TOP  MAGNETS]" c="ASSORTED BOTTLE TOP  MAGNETS"/>
              <i n="[Table1].[Description].&amp;[ASSORTED COLOUR BIRD ORNAMENT]" c="ASSORTED COLOUR BIRD ORNAMENT"/>
              <i n="[Table1].[Description].&amp;[BABUSHKA LIGHTS STRING OF 10]" c="BABUSHKA LIGHTS STRING OF 10"/>
              <i n="[Table1].[Description].&amp;[BALLOON ART MAKE YOUR OWN FLOWERS]" c="BALLOON ART MAKE YOUR OWN FLOWERS"/>
              <i n="[Table1].[Description].&amp;[BATH BUILDING BLOCK WORD]" c="BATH BUILDING BLOCK WORD"/>
              <i n="[Table1].[Description].&amp;[BLACK HEART CARD HOLDER]" c="BLACK HEART CARD HOLDER"/>
              <i n="[Table1].[Description].&amp;[BLACK/BLUE POLKADOT UMBRELLA]" c="BLACK/BLUE POLKADOT UMBRELLA"/>
              <i n="[Table1].[Description].&amp;[BLUE 3 PIECE POLKADOT CUTLERY SET]" c="BLUE 3 PIECE POLKADOT CUTLERY SET"/>
              <i n="[Table1].[Description].&amp;[BLUE COAT RACK PARIS FASHION]" c="BLUE COAT RACK PARIS FASHION"/>
              <i n="[Table1].[Description].&amp;[BLUE DINER WALL CLOCK]" c="BLUE DINER WALL CLOCK"/>
              <i n="[Table1].[Description].&amp;[BLUE OWL SOFT TOY]" c="BLUE OWL SOFT TOY"/>
              <i n="[Table1].[Description].&amp;[BOX OF 6 ASSORTED COLOUR TEASPOONS]" c="BOX OF 6 ASSORTED COLOUR TEASPOONS"/>
              <i n="[Table1].[Description].&amp;[BOX OF VINTAGE ALPHABET BLOCKS]" c="BOX OF VINTAGE ALPHABET BLOCKS"/>
              <i n="[Table1].[Description].&amp;[BOX OF VINTAGE JIGSAW BLOCKS]" c="BOX OF VINTAGE JIGSAW BLOCKS"/>
              <i n="[Table1].[Description].&amp;[CERAMIC CHERRY CAKE MONEY BANK]" c="CERAMIC CHERRY CAKE MONEY BANK"/>
              <i n="[Table1].[Description].&amp;[CERAMIC STRAWBERRY CAKE MONEY BANK]" c="CERAMIC STRAWBERRY CAKE MONEY BANK"/>
              <i n="[Table1].[Description].&amp;[CHARLIE &amp; LOLA WASTEPAPER BIN FLORA]" c="CHARLIE &amp; LOLA WASTEPAPER BIN FLORA"/>
              <i n="[Table1].[Description].&amp;[CHARLOTTE BAG DOLLY GIRL DESIGN]" c="CHARLOTTE BAG DOLLY GIRL DESIGN"/>
              <i n="[Table1].[Description].&amp;[CHICK GREY HOT WATER BOTTLE]" c="CHICK GREY HOT WATER BOTTLE"/>
              <i n="[Table1].[Description].&amp;[CHILLI LIGHTS]" c="CHILLI LIGHTS"/>
              <i n="[Table1].[Description].&amp;[CHOCOLATE CALCULATOR]" c="CHOCOLATE CALCULATOR"/>
              <i n="[Table1].[Description].&amp;[CHRISTMAS LIGHTS 10 REINDEER]" c="CHRISTMAS LIGHTS 10 REINDEER"/>
              <i n="[Table1].[Description].&amp;[CIRCUS PARADE LUNCH BOX]" c="CIRCUS PARADE LUNCH BOX"/>
              <i n="[Table1].[Description].&amp;[CLASSIC METAL BIRDCAGE PLANT HOLDER]" c="CLASSIC METAL BIRDCAGE PLANT HOLDER"/>
              <i n="[Table1].[Description].&amp;[CLEAR DRAWER KNOB ACRYLIC EDWARDIAN]" c="CLEAR DRAWER KNOB ACRYLIC EDWARDIAN"/>
              <i n="[Table1].[Description].&amp;[CLOTHES PEGS RETROSPOT PACK 24]" c="CLOTHES PEGS RETROSPOT PACK 24"/>
              <i n="[Table1].[Description].&amp;[COLOUR GLASS T-LIGHT HOLDER HANGING]" c="COLOUR GLASS T-LIGHT HOLDER HANGING"/>
              <i n="[Table1].[Description].&amp;[COOK WITH WINE METAL SIGN]" c="COOK WITH WINE METAL SIGN"/>
              <i n="[Table1].[Description].&amp;[CREAM CUPID HEARTS COAT HANGER]" c="CREAM CUPID HEARTS COAT HANGER"/>
              <i n="[Table1].[Description].&amp;[CREAM HEART CARD HOLDER]" c="CREAM HEART CARD HOLDER"/>
              <i n="[Table1].[Description].&amp;[DELUXE SEWING KIT]" c="DELUXE SEWING KIT"/>
              <i n="[Table1].[Description].&amp;[DISCO BALL CHRISTMAS DECORATION]" c="DISCO BALL CHRISTMAS DECORATION"/>
              <i n="[Table1].[Description].&amp;[Discount]" c="Discount"/>
              <i n="[Table1].[Description].&amp;[DOG BOWL CHASING BALL DESIGN]" c="DOG BOWL CHASING BALL DESIGN"/>
              <i n="[Table1].[Description].&amp;[DOORMAT FAIRY CAKE]" c="DOORMAT FAIRY CAKE"/>
              <i n="[Table1].[Description].&amp;[DOORMAT FANCY FONT HOME SWEET HOME]" c="DOORMAT FANCY FONT HOME SWEET HOME"/>
              <i n="[Table1].[Description].&amp;[DOORMAT NEW ENGLAND]" c="DOORMAT NEW ENGLAND"/>
              <i n="[Table1].[Description].&amp;[EDWARDIAN PARASOL BLACK]" c="EDWARDIAN PARASOL BLACK"/>
              <i n="[Table1].[Description].&amp;[EDWARDIAN PARASOL NATURAL]" c="EDWARDIAN PARASOL NATURAL"/>
              <i n="[Table1].[Description].&amp;[EDWARDIAN PARASOL RED]" c="EDWARDIAN PARASOL RED"/>
              <i n="[Table1].[Description].&amp;[ENAMEL BREAD BIN CREAM]" c="ENAMEL BREAD BIN CREAM"/>
              <i n="[Table1].[Description].&amp;[ENAMEL FIRE BUCKET CREAM]" c="ENAMEL FIRE BUCKET CREAM"/>
              <i n="[Table1].[Description].&amp;[ENAMEL FLOWER JUG CREAM]" c="ENAMEL FLOWER JUG CREAM"/>
              <i n="[Table1].[Description].&amp;[ENGLISH ROSE HOT WATER BOTTLE]" c="ENGLISH ROSE HOT WATER BOTTLE"/>
              <i n="[Table1].[Description].&amp;[FAIRY TALE COTTAGE NIGHTLIGHT]" c="FAIRY TALE COTTAGE NIGHTLIGHT"/>
              <i n="[Table1].[Description].&amp;[FANCY FONT BIRTHDAY CARD,]" c="FANCY FONT BIRTHDAY CARD,"/>
              <i n="[Table1].[Description].&amp;[FELT EGG COSY CHICKEN]" c="FELT EGG COSY CHICKEN"/>
              <i n="[Table1].[Description].&amp;[FELT EGG COSY WHITE RABBIT]" c="FELT EGG COSY WHITE RABBIT"/>
              <i n="[Table1].[Description].&amp;[FELTCRAFT PRINCESS CHARLOTTE DOLL]" c="FELTCRAFT PRINCESS CHARLOTTE DOLL"/>
              <i n="[Table1].[Description].&amp;[FIVE HEART HANGING DECORATION]" c="FIVE HEART HANGING DECORATION"/>
              <i n="[Table1].[Description].&amp;[FRIDGE MAGNETS LES ENFANTS ASSORTED]" c="FRIDGE MAGNETS LES ENFANTS ASSORTED"/>
              <i n="[Table1].[Description].&amp;[FRIDGE MAGNETS US DINER ASSORTED]" c="FRIDGE MAGNETS US DINER ASSORTED"/>
              <i n="[Table1].[Description].&amp;[GIN + TONIC DIET METAL SIGN]" c="GIN + TONIC DIET METAL SIGN"/>
              <i n="[Table1].[Description].&amp;[GINGHAM HEART  DOORSTOP RED]" c="GINGHAM HEART  DOORSTOP RED"/>
              <i n="[Table1].[Description].&amp;[GIRLY PINK TOOL SET]" c="GIRLY PINK TOOL SET"/>
              <i n="[Table1].[Description].&amp;[GLASS CLOCHE SMALL]" c="GLASS CLOCHE SMALL"/>
              <i n="[Table1].[Description].&amp;[GLASS STAR FROSTED T-LIGHT HOLDER]" c="GLASS STAR FROSTED T-LIGHT HOLDER"/>
              <i n="[Table1].[Description].&amp;[GUMBALL MONOCHROME COAT RACK]" c="GUMBALL MONOCHROME COAT RACK"/>
              <i n="[Table1].[Description].&amp;[HAND OVER THE CHOCOLATE   SIGN]" c="HAND OVER THE CHOCOLATE   SIGN"/>
              <i n="[Table1].[Description].&amp;[HAND WARMER BIRD DESIGN]" c="HAND WARMER BIRD DESIGN"/>
              <i n="[Table1].[Description].&amp;[HAND WARMER OWL DESIGN]" c="HAND WARMER OWL DESIGN"/>
              <i n="[Table1].[Description].&amp;[HAND WARMER RED POLKA DOT]" c="HAND WARMER RED POLKA DOT"/>
              <i n="[Table1].[Description].&amp;[HAND WARMER RED RETROSPOT]" c="HAND WARMER RED RETROSPOT"/>
              <i n="[Table1].[Description].&amp;[HAND WARMER SCOTTY DOG DESIGN]" c="HAND WARMER SCOTTY DOG DESIGN"/>
              <i n="[Table1].[Description].&amp;[HAND WARMER UNION JACK]" c="HAND WARMER UNION JACK"/>
              <i n="[Table1].[Description].&amp;[HANGING HEART ZINC T-LIGHT HOLDER]" c="HANGING HEART ZINC T-LIGHT HOLDER"/>
              <i n="[Table1].[Description].&amp;[HANGING MEDINA LANTERN SMALL]" c="HANGING MEDINA LANTERN SMALL"/>
              <i n="[Table1].[Description].&amp;[HANGING METAL HEART LANTERN]" c="HANGING METAL HEART LANTERN"/>
              <i n="[Table1].[Description].&amp;[HEART OF WICKER LARGE]" c="HEART OF WICKER LARGE"/>
              <i n="[Table1].[Description].&amp;[HEART OF WICKER SMALL]" c="HEART OF WICKER SMALL"/>
              <i n="[Table1].[Description].&amp;[HOME BUILDING BLOCK WORD]" c="HOME BUILDING BLOCK WORD"/>
              <i n="[Table1].[Description].&amp;[HOME SMALL WOOD LETTERS]" c="HOME SMALL WOOD LETTERS"/>
              <i n="[Table1].[Description].&amp;[HOMEMADE JAM SCENTED CANDLES]" c="HOMEMADE JAM SCENTED CANDLES"/>
              <i n="[Table1].[Description].&amp;[HOT WATER BOTTLE TEA AND SYMPATHY]" c="HOT WATER BOTTLE TEA AND SYMPATHY"/>
              <i n="[Table1].[Description].&amp;[INFLATABLE POLITICAL GLOBE]" c="INFLATABLE POLITICAL GLOBE"/>
              <i n="[Table1].[Description].&amp;[IVORY DINER WALL CLOCK]" c="IVORY DINER WALL CLOCK"/>
              <i n="[Table1].[Description].&amp;[IVORY EMBROIDERED QUILT]" c="IVORY EMBROIDERED QUILT"/>
              <i n="[Table1].[Description].&amp;[IVORY GIANT GARDEN THERMOMETER]" c="IVORY GIANT GARDEN THERMOMETER"/>
              <i n="[Table1].[Description].&amp;[IVORY KNITTED MUG COSY]" c="IVORY KNITTED MUG COSY"/>
              <i n="[Table1].[Description].&amp;[JAM JAR WITH GREEN LID]" c="JAM JAR WITH GREEN LID"/>
              <i n="[Table1].[Description].&amp;[JAM JAR WITH PINK LID]" c="JAM JAR WITH PINK LID"/>
              <i n="[Table1].[Description].&amp;[JAM MAKING SET PRINTED]" c="JAM MAKING SET PRINTED"/>
              <i n="[Table1].[Description].&amp;[JAM MAKING SET WITH JARS]" c="JAM MAKING SET WITH JARS"/>
              <i n="[Table1].[Description].&amp;[JUMBO  BAG BAROQUE BLACK WHITE]" c="JUMBO  BAG BAROQUE BLACK WHITE"/>
              <i n="[Table1].[Description].&amp;[JUMBO BAG CHARLIE AND LOLA TOYS]" c="JUMBO BAG CHARLIE AND LOLA TOYS"/>
              <i n="[Table1].[Description].&amp;[JUMBO BAG DOLLY GIRL DESIGN]" c="JUMBO BAG DOLLY GIRL DESIGN"/>
              <i n="[Table1].[Description].&amp;[JUMBO BAG PINK POLKADOT]" c="JUMBO BAG PINK POLKADOT"/>
              <i n="[Table1].[Description].&amp;[JUMBO BAG PINK VINTAGE PAISLEY]" c="JUMBO BAG PINK VINTAGE PAISLEY"/>
              <i n="[Table1].[Description].&amp;[JUMBO BAG RED RETROSPOT]" c="JUMBO BAG RED RETROSPOT"/>
              <i n="[Table1].[Description].&amp;[JUMBO SHOPPER VINTAGE RED PAISLEY]" c="JUMBO SHOPPER VINTAGE RED PAISLEY"/>
              <i n="[Table1].[Description].&amp;[JUMBO STORAGE BAG SUKI]" c="JUMBO STORAGE BAG SUKI"/>
              <i n="[Table1].[Description].&amp;[KNITTED UNION FLAG HOT WATER BOTTLE]" c="KNITTED UNION FLAG HOT WATER BOTTLE"/>
              <i n="[Table1].[Description].&amp;[LARGE HEART MEASURING SPOONS]" c="LARGE HEART MEASURING SPOONS"/>
              <i n="[Table1].[Description].&amp;[LARGE POPCORN HOLDER]" c="LARGE POPCORN HOLDER"/>
              <i n="[Table1].[Description].&amp;[LIGHT GARLAND BUTTERFILES PINK]" c="LIGHT GARLAND BUTTERFILES PINK"/>
              <i n="[Table1].[Description].&amp;[LOVE BUILDING BLOCK WORD]" c="LOVE BUILDING BLOCK WORD"/>
              <i n="[Table1].[Description].&amp;[LUNCH BAG DOLLY GIRL DESIGN]" c="LUNCH BAG DOLLY GIRL DESIGN"/>
              <i n="[Table1].[Description].&amp;[LUNCH BAG RED RETROSPOT]" c="LUNCH BAG RED RETROSPOT"/>
              <i n="[Table1].[Description].&amp;[LUNCH BOX I LOVE LONDON]" c="LUNCH BOX I LOVE LONDON"/>
              <i n="[Table1].[Description].&amp;[LUNCH BOX WITH CUTLERY RETROSPOT]" c="LUNCH BOX WITH CUTLERY RETROSPOT"/>
              <i n="[Table1].[Description].&amp;[MINI JIGSAW CIRCUS PARADE]" c="MINI JIGSAW CIRCUS PARADE"/>
              <i n="[Table1].[Description].&amp;[MINI JIGSAW SPACEBOY]" c="MINI JIGSAW SPACEBOY"/>
              <i n="[Table1].[Description].&amp;[MINI PAINT SET VINTAGE]" c="MINI PAINT SET VINTAGE"/>
              <i n="[Table1].[Description].&amp;[NATURAL SLATE HEART CHALKBOARD]" c="NATURAL SLATE HEART CHALKBOARD"/>
              <i n="[Table1].[Description].&amp;[ORGANISER WOOD ANTIQUE WHITE]" c="ORGANISER WOOD ANTIQUE WHITE"/>
              <i n="[Table1].[Description].&amp;[PACK OF 12 BLUE PAISLEY TISSUES]" c="PACK OF 12 BLUE PAISLEY TISSUES"/>
              <i n="[Table1].[Description].&amp;[PACK OF 12 PINK PAISLEY TISSUES]" c="PACK OF 12 PINK PAISLEY TISSUES"/>
              <i n="[Table1].[Description].&amp;[PACK OF 12 RED RETROSPOT TISSUES]" c="PACK OF 12 RED RETROSPOT TISSUES"/>
              <i n="[Table1].[Description].&amp;[PACK OF 60 DINOSAUR CAKE CASES]" c="PACK OF 60 DINOSAUR CAKE CASES"/>
              <i n="[Table1].[Description].&amp;[PACK OF 60 PINK PAISLEY CAKE CASES]" c="PACK OF 60 PINK PAISLEY CAKE CASES"/>
              <i n="[Table1].[Description].&amp;[PACK OF 72 RETROSPOT CAKE CASES]" c="PACK OF 72 RETROSPOT CAKE CASES"/>
              <i n="[Table1].[Description].&amp;[PANDA AND BUNNIES STICKER SHEET]" c="PANDA AND BUNNIES STICKER SHEET"/>
              <i n="[Table1].[Description].&amp;[PAPER CHAIN KIT 50'S CHRISTMAS]" c="PAPER CHAIN KIT 50'S CHRISTMAS"/>
              <i n="[Table1].[Description].&amp;[PAPER CHAIN KIT RETROSPOT]" c="PAPER CHAIN KIT RETROSPOT"/>
              <i n="[Table1].[Description].&amp;[PAPER CHAIN KIT VINTAGE CHRISTMAS]" c="PAPER CHAIN KIT VINTAGE CHRISTMAS"/>
              <i n="[Table1].[Description].&amp;[PARTY CONES CANDY ASSORTED]" c="PARTY CONES CANDY ASSORTED"/>
              <i n="[Table1].[Description].&amp;[PARTY CONES CARNIVAL ASSORTED]" c="PARTY CONES CARNIVAL ASSORTED"/>
              <i n="[Table1].[Description].&amp;[PHOTO CLIP LINE]" c="PHOTO CLIP LINE"/>
              <i n="[Table1].[Description].&amp;[PHOTO CUBE]" c="PHOTO CUBE"/>
              <i n="[Table1].[Description].&amp;[PICNIC BASKET WICKER SMALL]" c="PICNIC BASKET WICKER SMALL"/>
              <i n="[Table1].[Description].&amp;[PIGGY BANK RETROSPOT]" c="PIGGY BANK RETROSPOT"/>
              <i n="[Table1].[Description].&amp;[PINK BREAKFAST CUP AND SAUCER]" c="PINK BREAKFAST CUP AND SAUCER"/>
              <i n="[Table1].[Description].&amp;[PLASTERS IN TIN CIRCUS PARADE]" c="PLASTERS IN TIN CIRCUS PARADE"/>
              <i n="[Table1].[Description].&amp;[PLASTERS IN TIN SKULLS]" c="PLASTERS IN TIN SKULLS"/>
              <i n="[Table1].[Description].&amp;[PLASTERS IN TIN VINTAGE PAISLEY]" c="PLASTERS IN TIN VINTAGE PAISLEY"/>
              <i n="[Table1].[Description].&amp;[POLKADOT RAIN HAT]" c="POLKADOT RAIN HAT"/>
              <i n="[Table1].[Description].&amp;[POPPY'S PLAYHOUSE BEDROOM]" c="POPPY'S PLAYHOUSE BEDROOM"/>
              <i n="[Table1].[Description].&amp;[POPPY'S PLAYHOUSE KITCHEN]" c="POPPY'S PLAYHOUSE KITCHEN"/>
              <i n="[Table1].[Description].&amp;[POSTAGE]" c="POSTAGE"/>
              <i n="[Table1].[Description].&amp;[RECIPE BOX WITH METAL HEART]" c="RECIPE BOX WITH METAL HEART"/>
              <i n="[Table1].[Description].&amp;[RECYCLING BAG RETROSPOT]" c="RECYCLING BAG RETROSPOT"/>
              <i n="[Table1].[Description].&amp;[RED 3 PIECE RETROSPOT CUTLERY SET]" c="RED 3 PIECE RETROSPOT CUTLERY SET"/>
              <i n="[Table1].[Description].&amp;[RED CHARLIE+LOLA PERSONAL DOORSIGN]" c="RED CHARLIE+LOLA PERSONAL DOORSIGN"/>
              <i n="[Table1].[Description].&amp;[RED COAT RACK PARIS FASHION]" c="RED COAT RACK PARIS FASHION"/>
              <i n="[Table1].[Description].&amp;[RED DINER WALL CLOCK]" c="RED DINER WALL CLOCK"/>
              <i n="[Table1].[Description].&amp;[RED DRAWER KNOB ACRYLIC EDWARDIAN]" c="RED DRAWER KNOB ACRYLIC EDWARDIAN"/>
              <i n="[Table1].[Description].&amp;[RED HANGING HEART T-LIGHT HOLDER]" c="RED HANGING HEART T-LIGHT HOLDER"/>
              <i n="[Table1].[Description].&amp;[RED RETROSPOT MUG]" c="RED RETROSPOT MUG"/>
              <i n="[Table1].[Description].&amp;[RED RETROSPOT UMBRELLA]" c="RED RETROSPOT UMBRELLA"/>
              <i n="[Table1].[Description].&amp;[RED TOADSTOOL LED NIGHT LIGHT]" c="RED TOADSTOOL LED NIGHT LIGHT"/>
              <i n="[Table1].[Description].&amp;[RED WOOLLY HOTTIE WHITE HEART.]" c="RED WOOLLY HOTTIE WHITE HEART."/>
              <i n="[Table1].[Description].&amp;[RETRO COFFEE MUGS ASSORTED]" c="RETRO COFFEE MUGS ASSORTED"/>
              <i n="[Table1].[Description].&amp;[RETROSPOT HEART HOT WATER BOTTLE]" c="RETROSPOT HEART HOT WATER BOTTLE"/>
              <i n="[Table1].[Description].&amp;[RETROSPOT LAMP]" c="RETROSPOT LAMP"/>
              <i n="[Table1].[Description].&amp;[RETROSPOT LARGE MILK JUG]" c="RETROSPOT LARGE MILK JUG"/>
              <i n="[Table1].[Description].&amp;[RETROSPOT TEA SET CERAMIC 11 PC]" c="RETROSPOT TEA SET CERAMIC 11 PC"/>
              <i n="[Table1].[Description].&amp;[ROSE CARAVAN DOORSTOP]" c="ROSE CARAVAN DOORSTOP"/>
              <i n="[Table1].[Description].&amp;[ROSE COTTAGE KEEPSAKE BOX]" c="ROSE COTTAGE KEEPSAKE BOX"/>
              <i n="[Table1].[Description].&amp;[ROUND SNACK BOXES SET OF4 WOODLAND]" c="ROUND SNACK BOXES SET OF4 WOODLAND"/>
              <i n="[Table1].[Description].&amp;[RUSTIC  SEVENTEEN DRAWER SIDEBOARD]" c="RUSTIC  SEVENTEEN DRAWER SIDEBOARD"/>
              <i n="[Table1].[Description].&amp;[SAVE THE PLANET MUG]" c="SAVE THE PLANET MUG"/>
              <i n="[Table1].[Description].&amp;[SET 3 WICKER OVAL BASKETS W LIDS]" c="SET 3 WICKER OVAL BASKETS W LIDS"/>
              <i n="[Table1].[Description].&amp;[SET 7 BABUSHKA NESTING BOXES]" c="SET 7 BABUSHKA NESTING BOXES"/>
              <i n="[Table1].[Description].&amp;[SET OF 3 BLACK FLYING DUCKS]" c="SET OF 3 BLACK FLYING DUCKS"/>
              <i n="[Table1].[Description].&amp;[SET OF 3 COLOURED  FLYING DUCKS]" c="SET OF 3 COLOURED  FLYING DUCKS"/>
              <i n="[Table1].[Description].&amp;[SET OF 3 GOLD FLYING DUCKS]" c="SET OF 3 GOLD FLYING DUCKS"/>
              <i n="[Table1].[Description].&amp;[SET OF 6 FUNKY BEAKERS]" c="SET OF 6 FUNKY BEAKERS"/>
              <i n="[Table1].[Description].&amp;[SET OF 6 SOLDIER SKITTLES]" c="SET OF 6 SOLDIER SKITTLES"/>
              <i n="[Table1].[Description].&amp;[SET/2 RED RETROSPOT TEA TOWELS]" c="SET/2 RED RETROSPOT TEA TOWELS"/>
              <i n="[Table1].[Description].&amp;[SET/20 RED RETROSPOT PAPER NAPKINS]" c="SET/20 RED RETROSPOT PAPER NAPKINS"/>
              <i n="[Table1].[Description].&amp;[SET/6 RED SPOTTY PAPER CUPS]" c="SET/6 RED SPOTTY PAPER CUPS"/>
              <i n="[Table1].[Description].&amp;[SET/6 RED SPOTTY PAPER PLATES]" c="SET/6 RED SPOTTY PAPER PLATES"/>
              <i n="[Table1].[Description].&amp;[SKULL SHOULDER BAG]" c="SKULL SHOULDER BAG"/>
              <i n="[Table1].[Description].&amp;[SMALL GLASS HEART TRINKET POT]" c="SMALL GLASS HEART TRINKET POT"/>
              <i n="[Table1].[Description].&amp;[SMALL HEART FLOWERS HOOK]" c="SMALL HEART FLOWERS HOOK"/>
              <i n="[Table1].[Description].&amp;[SMALL HEART MEASURING SPOONS]" c="SMALL HEART MEASURING SPOONS"/>
              <i n="[Table1].[Description].&amp;[SMALL POPCORN HOLDER]" c="SMALL POPCORN HOLDER"/>
              <i n="[Table1].[Description].&amp;[SPACEBOY LUNCH BOX]" c="SPACEBOY LUNCH BOX"/>
              <i n="[Table1].[Description].&amp;[STAR DECORATION PAINTED ZINC]" c="STAR DECORATION PAINTED ZINC"/>
              <i n="[Table1].[Description].&amp;[STARS GIFT TAPE]" c="STARS GIFT TAPE"/>
              <i n="[Table1].[Description].&amp;[STRAWBERRY CHARLOTTE BAG]" c="STRAWBERRY CHARLOTTE BAG"/>
              <i n="[Table1].[Description].&amp;[STRAWBERRY LUNCH BOX WITH CUTLERY]" c="STRAWBERRY LUNCH BOX WITH CUTLERY"/>
              <i n="[Table1].[Description].&amp;[TEA TIME DES TEA COSY]" c="TEA TIME DES TEA COSY"/>
              <i n="[Table1].[Description].&amp;[TOMATO CHARLIE+LOLA COASTER SET]" c="TOMATO CHARLIE+LOLA COASTER SET"/>
              <i n="[Table1].[Description].&amp;[TOY TIDY PINK POLKADOT]" c="TOY TIDY PINK POLKADOT"/>
              <i n="[Table1].[Description].&amp;[TRADITIONAL CHRISTMAS RIBBONS]" c="TRADITIONAL CHRISTMAS RIBBONS"/>
              <i n="[Table1].[Description].&amp;[TRADITIONAL WOODEN SKIPPING ROPE]" c="TRADITIONAL WOODEN SKIPPING ROPE"/>
              <i n="[Table1].[Description].&amp;[TRAVEL SEWING KIT]" c="TRAVEL SEWING KIT"/>
              <i n="[Table1].[Description].&amp;[VICTORIAN SEWING BOX LARGE]" c="VICTORIAN SEWING BOX LARGE"/>
              <i n="[Table1].[Description].&amp;[VINTAGE BILLBOARD DRINK ME MUG]" c="VINTAGE BILLBOARD DRINK ME MUG"/>
              <i n="[Table1].[Description].&amp;[VINTAGE BILLBOARD LOVE/HATE MUG]" c="VINTAGE BILLBOARD LOVE/HATE MUG"/>
              <i n="[Table1].[Description].&amp;[VINTAGE HEADS AND TAILS CARD GAME]" c="VINTAGE HEADS AND TAILS CARD GAME"/>
              <i n="[Table1].[Description].&amp;[VINTAGE SEASIDE JIGSAW PUZZLES]" c="VINTAGE SEASIDE JIGSAW PUZZLES"/>
              <i n="[Table1].[Description].&amp;[VINTAGE SNAKES &amp; LADDERS]" c="VINTAGE SNAKES &amp; LADDERS"/>
              <i n="[Table1].[Description].&amp;[VINTAGE UNION JACK CUSHION COVER]" c="VINTAGE UNION JACK CUSHION COVER"/>
              <i n="[Table1].[Description].&amp;[WHITE HANGING HEART T-LIGHT HOLDER]" c="WHITE HANGING HEART T-LIGHT HOLDER"/>
              <i n="[Table1].[Description].&amp;[WHITE LOVEBIRD LANTERN]" c="WHITE LOVEBIRD LANTERN"/>
              <i n="[Table1].[Description].&amp;[WHITE METAL LANTERN]" c="WHITE METAL LANTERN"/>
              <i n="[Table1].[Description].&amp;[WHITE SPOT RED CERAMIC DRAWER KNOB]" c="WHITE SPOT RED CERAMIC DRAWER KNOB"/>
              <i n="[Table1].[Description].&amp;[WHITE WIRE EGG HOLDER]" c="WHITE WIRE EGG HOLDER"/>
              <i n="[Table1].[Description].&amp;[WOOD 2 DRAWER CABINET WHITE FINISH]" c="WOOD 2 DRAWER CABINET WHITE FINISH"/>
              <i n="[Table1].[Description].&amp;[WOOD BLACK BOARD ANT WHITE FINISH]" c="WOOD BLACK BOARD ANT WHITE FINISH"/>
              <i n="[Table1].[Description].&amp;[WOOD S/3 CABINET ANT WHITE FINISH]" c="WOOD S/3 CABINET ANT WHITE FINISH"/>
              <i n="[Table1].[Description].&amp;[WOODEN BOX OF DOMINOES]" c="WOODEN BOX OF DOMINOES"/>
              <i n="[Table1].[Description].&amp;[WOODEN FRAME ANTIQUE WHITE]" c="WOODEN FRAME ANTIQUE WHITE"/>
              <i n="[Table1].[Description].&amp;[WOODEN OWLS LIGHT GARLAND]" c="WOODEN OWLS LIGHT GARLAND"/>
              <i n="[Table1].[Description].&amp;[WOODEN PICTURE FRAME WHITE FINISH]" c="WOODEN PICTURE FRAME WHITE FINISH"/>
              <i n="[Table1].[Description].&amp;[YELLOW BREAKFAST CUP AND SAUCER]" c="YELLOW BREAKFAST CUP AND SAUCER"/>
              <i n="[Table1].[Description].&amp;[YELLOW COAT RACK PARIS FASHION]" c="YELLOW COAT RACK PARIS FASHION"/>
              <i n="[Table1].[Description].&amp;[YOU'RE CONFUSING ME METAL SIGN]" c="YOU'RE CONFUSING ME METAL SIGN"/>
              <i n="[Table1].[Description].&amp;[ZINC WILLIE WINKIE  CANDLE STICK]" c="ZINC WILLIE WINKIE  CANDLE STICK"/>
            </range>
          </ranges>
        </level>
      </levels>
      <selections count="1">
        <selection n="[Table1].[Description].[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A454FBCF-8439-4AD2-BA75-8F5FD103E030}" cache="Slicer_Country" caption="Country" level="1" rowHeight="241300"/>
  <slicer name="Description" xr10:uid="{269EE869-A2D8-4641-952D-6AFB669D92E8}" cache="Slicer_Description" caption="Description" startItem="196" level="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5D53E10-C486-41F6-AC0E-8C1104F3DAB1}" name="Table1" displayName="Table1" ref="G2:P307" totalsRowCount="1" headerRowDxfId="21" dataDxfId="20">
  <autoFilter ref="G2:P306" xr:uid="{35D53E10-C486-41F6-AC0E-8C1104F3DAB1}"/>
  <tableColumns count="10">
    <tableColumn id="1" xr3:uid="{819BEEC3-D356-4D1D-9245-B453CD101277}" name="hour" dataDxfId="19" totalsRowDxfId="18">
      <calculatedColumnFormula>TEXT(Table1[[#This Row],[InvoiceDate]],"H AM/PM")</calculatedColumnFormula>
    </tableColumn>
    <tableColumn id="2" xr3:uid="{C6725914-9B68-4193-90B2-E8307154AC78}" name="total seals" totalsRowFunction="custom" dataDxfId="17" totalsRowDxfId="16">
      <calculatedColumnFormula>N3*L3</calculatedColumnFormula>
      <totalsRowFormula>SUM(Table1[total seals])</totalsRowFormula>
    </tableColumn>
    <tableColumn id="3" xr3:uid="{7658C723-4660-49E3-85F3-C5A3052E3E68}" name="InvoiceNo" totalsRowFunction="custom" dataDxfId="15" totalsRowDxfId="14">
      <totalsRowFormula>SUM(Table1[InvoiceNo])</totalsRowFormula>
    </tableColumn>
    <tableColumn id="4" xr3:uid="{701A1D62-D91B-4C9A-BEAB-179C6258999F}" name="StockCode" dataDxfId="13" totalsRowDxfId="12"/>
    <tableColumn id="5" xr3:uid="{AA4AB267-580E-4131-A89C-BCB6CB97F3E7}" name="Description" dataDxfId="11" totalsRowDxfId="10"/>
    <tableColumn id="6" xr3:uid="{7555D1FC-1CB6-4722-BBAC-E70ECD75CFDC}" name="Quantity" dataDxfId="9" totalsRowDxfId="8"/>
    <tableColumn id="7" xr3:uid="{21D51D59-303C-413B-A712-7D4C14003839}" name="InvoiceDate" dataDxfId="7" totalsRowDxfId="6"/>
    <tableColumn id="8" xr3:uid="{B0EE8681-27A6-4810-8E0C-49F934871E62}" name="UnitPrice" dataDxfId="5" totalsRowDxfId="4"/>
    <tableColumn id="9" xr3:uid="{DCD6EB13-0F5D-4948-87A0-14221A648D95}" name="CustomerID" dataDxfId="3" totalsRowDxfId="2"/>
    <tableColumn id="10" xr3:uid="{855EE11B-7764-4EC9-BBC1-0EB6C2706FC0}" name="Country" dataDxfId="1" totalsRowDxfId="0"/>
  </tableColumns>
  <tableStyleInfo name="TableStyleLight13" showFirstColumn="0" showLastColumn="0" showRowStripes="1" showColumnStripes="0"/>
</table>
</file>

<file path=xl/theme/theme1.xml><?xml version="1.0" encoding="utf-8"?>
<a:theme xmlns:a="http://schemas.openxmlformats.org/drawingml/2006/main" name="Office Theme">
  <a:themeElements>
    <a:clrScheme name="Blue Warm">
      <a:dk1>
        <a:sysClr val="windowText" lastClr="000000"/>
      </a:dk1>
      <a:lt1>
        <a:sysClr val="window" lastClr="FFFFFF"/>
      </a:lt1>
      <a:dk2>
        <a:srgbClr val="242852"/>
      </a:dk2>
      <a:lt2>
        <a:srgbClr val="ACCBF9"/>
      </a:lt2>
      <a:accent1>
        <a:srgbClr val="4A66AC"/>
      </a:accent1>
      <a:accent2>
        <a:srgbClr val="629DD1"/>
      </a:accent2>
      <a:accent3>
        <a:srgbClr val="297FD5"/>
      </a:accent3>
      <a:accent4>
        <a:srgbClr val="7F8FA9"/>
      </a:accent4>
      <a:accent5>
        <a:srgbClr val="5AA2AE"/>
      </a:accent5>
      <a:accent6>
        <a:srgbClr val="9D90A0"/>
      </a:accent6>
      <a:hlink>
        <a:srgbClr val="9454C3"/>
      </a:hlink>
      <a:folHlink>
        <a:srgbClr val="3EBBF0"/>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rinterSettings" Target="../printerSettings/printerSettings2.bin"/><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2" tint="-0.499984740745262"/>
    <pageSetUpPr fitToPage="1"/>
  </sheetPr>
  <dimension ref="G2:Q307"/>
  <sheetViews>
    <sheetView topLeftCell="A3" zoomScale="60" zoomScaleNormal="60" workbookViewId="0">
      <selection activeCell="E46" sqref="E46"/>
    </sheetView>
  </sheetViews>
  <sheetFormatPr defaultRowHeight="15" x14ac:dyDescent="0.25"/>
  <cols>
    <col min="7" max="7" width="9.7109375" bestFit="1" customWidth="1"/>
    <col min="8" max="9" width="14.5703125" bestFit="1" customWidth="1"/>
    <col min="10" max="10" width="14.85546875" bestFit="1" customWidth="1"/>
    <col min="11" max="11" width="40.85546875" bestFit="1" customWidth="1"/>
    <col min="12" max="12" width="13.28515625" bestFit="1" customWidth="1"/>
    <col min="13" max="13" width="16.140625" bestFit="1" customWidth="1"/>
    <col min="14" max="14" width="13.85546875" bestFit="1" customWidth="1"/>
    <col min="15" max="15" width="16" bestFit="1" customWidth="1"/>
    <col min="16" max="16" width="15.42578125" bestFit="1" customWidth="1"/>
  </cols>
  <sheetData>
    <row r="2" spans="7:17" x14ac:dyDescent="0.25">
      <c r="G2" s="1" t="s">
        <v>256</v>
      </c>
      <c r="H2" s="1" t="s">
        <v>255</v>
      </c>
      <c r="I2" s="1" t="s">
        <v>0</v>
      </c>
      <c r="J2" s="1" t="s">
        <v>1</v>
      </c>
      <c r="K2" s="1" t="s">
        <v>2</v>
      </c>
      <c r="L2" s="1" t="s">
        <v>3</v>
      </c>
      <c r="M2" s="1" t="s">
        <v>4</v>
      </c>
      <c r="N2" s="1" t="s">
        <v>5</v>
      </c>
      <c r="O2" s="1" t="s">
        <v>6</v>
      </c>
      <c r="P2" s="1" t="s">
        <v>7</v>
      </c>
      <c r="Q2" s="1"/>
    </row>
    <row r="3" spans="7:17" x14ac:dyDescent="0.25">
      <c r="G3" s="1" t="str">
        <f>TEXT(Table1[[#This Row],[InvoiceDate]],"H AM/PM")</f>
        <v>8 AM</v>
      </c>
      <c r="H3" s="1">
        <f t="shared" ref="H3:H66" si="0">N3*L3</f>
        <v>15.299999999999999</v>
      </c>
      <c r="I3" s="1">
        <v>536365</v>
      </c>
      <c r="J3" s="1" t="s">
        <v>8</v>
      </c>
      <c r="K3" s="1" t="s">
        <v>9</v>
      </c>
      <c r="L3" s="1">
        <v>6</v>
      </c>
      <c r="M3" s="2">
        <v>40513.351388888892</v>
      </c>
      <c r="N3" s="1">
        <v>2.5499999999999998</v>
      </c>
      <c r="O3" s="1">
        <v>17850</v>
      </c>
      <c r="P3" s="1" t="s">
        <v>10</v>
      </c>
      <c r="Q3" s="1"/>
    </row>
    <row r="4" spans="7:17" x14ac:dyDescent="0.25">
      <c r="G4" s="1" t="str">
        <f>TEXT(Table1[[#This Row],[InvoiceDate]],"H AM/PM")</f>
        <v>8 AM</v>
      </c>
      <c r="H4" s="1">
        <f t="shared" si="0"/>
        <v>20.34</v>
      </c>
      <c r="I4" s="1">
        <v>536365</v>
      </c>
      <c r="J4" s="1">
        <v>71053</v>
      </c>
      <c r="K4" s="1" t="s">
        <v>11</v>
      </c>
      <c r="L4" s="1">
        <v>6</v>
      </c>
      <c r="M4" s="2">
        <v>40513.351388888892</v>
      </c>
      <c r="N4" s="1">
        <v>3.39</v>
      </c>
      <c r="O4" s="1">
        <v>17850</v>
      </c>
      <c r="P4" s="1" t="s">
        <v>10</v>
      </c>
      <c r="Q4" s="1"/>
    </row>
    <row r="5" spans="7:17" x14ac:dyDescent="0.25">
      <c r="G5" s="1" t="str">
        <f>TEXT(Table1[[#This Row],[InvoiceDate]],"H AM/PM")</f>
        <v>8 AM</v>
      </c>
      <c r="H5" s="1">
        <f t="shared" si="0"/>
        <v>22</v>
      </c>
      <c r="I5" s="1">
        <v>536365</v>
      </c>
      <c r="J5" s="1" t="s">
        <v>12</v>
      </c>
      <c r="K5" s="1" t="s">
        <v>13</v>
      </c>
      <c r="L5" s="1">
        <v>8</v>
      </c>
      <c r="M5" s="2">
        <v>40513.351388888892</v>
      </c>
      <c r="N5" s="1">
        <v>2.75</v>
      </c>
      <c r="O5" s="1">
        <v>17850</v>
      </c>
      <c r="P5" s="1" t="s">
        <v>10</v>
      </c>
      <c r="Q5" s="1"/>
    </row>
    <row r="6" spans="7:17" x14ac:dyDescent="0.25">
      <c r="G6" s="1" t="str">
        <f>TEXT(Table1[[#This Row],[InvoiceDate]],"H AM/PM")</f>
        <v>8 AM</v>
      </c>
      <c r="H6" s="1">
        <f t="shared" si="0"/>
        <v>20.34</v>
      </c>
      <c r="I6" s="1">
        <v>536365</v>
      </c>
      <c r="J6" s="1" t="s">
        <v>14</v>
      </c>
      <c r="K6" s="1" t="s">
        <v>15</v>
      </c>
      <c r="L6" s="1">
        <v>6</v>
      </c>
      <c r="M6" s="2">
        <v>40513.351388888892</v>
      </c>
      <c r="N6" s="1">
        <v>3.39</v>
      </c>
      <c r="O6" s="1">
        <v>17850</v>
      </c>
      <c r="P6" s="1" t="s">
        <v>10</v>
      </c>
      <c r="Q6" s="1"/>
    </row>
    <row r="7" spans="7:17" x14ac:dyDescent="0.25">
      <c r="G7" s="1" t="str">
        <f>TEXT(Table1[[#This Row],[InvoiceDate]],"H AM/PM")</f>
        <v>8 AM</v>
      </c>
      <c r="H7" s="1">
        <f t="shared" si="0"/>
        <v>20.34</v>
      </c>
      <c r="I7" s="1">
        <v>536365</v>
      </c>
      <c r="J7" s="1" t="s">
        <v>16</v>
      </c>
      <c r="K7" s="1" t="s">
        <v>17</v>
      </c>
      <c r="L7" s="1">
        <v>6</v>
      </c>
      <c r="M7" s="2">
        <v>40513.351388888892</v>
      </c>
      <c r="N7" s="1">
        <v>3.39</v>
      </c>
      <c r="O7" s="1">
        <v>17850</v>
      </c>
      <c r="P7" s="1" t="s">
        <v>10</v>
      </c>
      <c r="Q7" s="1"/>
    </row>
    <row r="8" spans="7:17" x14ac:dyDescent="0.25">
      <c r="G8" s="1" t="str">
        <f>TEXT(Table1[[#This Row],[InvoiceDate]],"H AM/PM")</f>
        <v>8 AM</v>
      </c>
      <c r="H8" s="1">
        <f t="shared" si="0"/>
        <v>15.3</v>
      </c>
      <c r="I8" s="1">
        <v>536365</v>
      </c>
      <c r="J8" s="1">
        <v>22752</v>
      </c>
      <c r="K8" s="1" t="s">
        <v>18</v>
      </c>
      <c r="L8" s="1">
        <v>2</v>
      </c>
      <c r="M8" s="2">
        <v>40513.351388888892</v>
      </c>
      <c r="N8" s="1">
        <v>7.65</v>
      </c>
      <c r="O8" s="1">
        <v>17850</v>
      </c>
      <c r="P8" s="1" t="s">
        <v>10</v>
      </c>
      <c r="Q8" s="1"/>
    </row>
    <row r="9" spans="7:17" x14ac:dyDescent="0.25">
      <c r="G9" s="1" t="str">
        <f>TEXT(Table1[[#This Row],[InvoiceDate]],"H AM/PM")</f>
        <v>8 AM</v>
      </c>
      <c r="H9" s="1">
        <f t="shared" si="0"/>
        <v>25.5</v>
      </c>
      <c r="I9" s="1">
        <v>536365</v>
      </c>
      <c r="J9" s="1">
        <v>21730</v>
      </c>
      <c r="K9" s="1" t="s">
        <v>19</v>
      </c>
      <c r="L9" s="1">
        <v>6</v>
      </c>
      <c r="M9" s="2">
        <v>40513.351388888892</v>
      </c>
      <c r="N9" s="1">
        <v>4.25</v>
      </c>
      <c r="O9" s="1">
        <v>17850</v>
      </c>
      <c r="P9" s="1" t="s">
        <v>10</v>
      </c>
      <c r="Q9" s="1"/>
    </row>
    <row r="10" spans="7:17" x14ac:dyDescent="0.25">
      <c r="G10" s="1" t="str">
        <f>TEXT(Table1[[#This Row],[InvoiceDate]],"H AM/PM")</f>
        <v>8 AM</v>
      </c>
      <c r="H10" s="1">
        <f t="shared" si="0"/>
        <v>11.100000000000001</v>
      </c>
      <c r="I10" s="1">
        <v>536366</v>
      </c>
      <c r="J10" s="1">
        <v>22633</v>
      </c>
      <c r="K10" s="1" t="s">
        <v>20</v>
      </c>
      <c r="L10" s="1">
        <v>6</v>
      </c>
      <c r="M10" s="2">
        <v>40513.352777777778</v>
      </c>
      <c r="N10" s="1">
        <v>1.85</v>
      </c>
      <c r="O10" s="1">
        <v>17850</v>
      </c>
      <c r="P10" s="1" t="s">
        <v>10</v>
      </c>
      <c r="Q10" s="1"/>
    </row>
    <row r="11" spans="7:17" x14ac:dyDescent="0.25">
      <c r="G11" s="1" t="str">
        <f>TEXT(Table1[[#This Row],[InvoiceDate]],"H AM/PM")</f>
        <v>8 AM</v>
      </c>
      <c r="H11" s="1">
        <f t="shared" si="0"/>
        <v>11.100000000000001</v>
      </c>
      <c r="I11" s="1">
        <v>536366</v>
      </c>
      <c r="J11" s="1">
        <v>22632</v>
      </c>
      <c r="K11" s="1" t="s">
        <v>21</v>
      </c>
      <c r="L11" s="1">
        <v>6</v>
      </c>
      <c r="M11" s="2">
        <v>40513.352777777778</v>
      </c>
      <c r="N11" s="1">
        <v>1.85</v>
      </c>
      <c r="O11" s="1">
        <v>17850</v>
      </c>
      <c r="P11" s="1" t="s">
        <v>10</v>
      </c>
      <c r="Q11" s="1"/>
    </row>
    <row r="12" spans="7:17" x14ac:dyDescent="0.25">
      <c r="G12" s="1" t="str">
        <f>TEXT(Table1[[#This Row],[InvoiceDate]],"H AM/PM")</f>
        <v>8 AM</v>
      </c>
      <c r="H12" s="1">
        <f t="shared" si="0"/>
        <v>54.08</v>
      </c>
      <c r="I12" s="1">
        <v>536367</v>
      </c>
      <c r="J12" s="1">
        <v>84879</v>
      </c>
      <c r="K12" s="1" t="s">
        <v>22</v>
      </c>
      <c r="L12" s="1">
        <v>32</v>
      </c>
      <c r="M12" s="2">
        <v>40513.356944444444</v>
      </c>
      <c r="N12" s="1">
        <v>1.69</v>
      </c>
      <c r="O12" s="1">
        <v>13047</v>
      </c>
      <c r="P12" s="1" t="s">
        <v>10</v>
      </c>
      <c r="Q12" s="1"/>
    </row>
    <row r="13" spans="7:17" x14ac:dyDescent="0.25">
      <c r="G13" s="1" t="str">
        <f>TEXT(Table1[[#This Row],[InvoiceDate]],"H AM/PM")</f>
        <v>8 AM</v>
      </c>
      <c r="H13" s="1">
        <f t="shared" si="0"/>
        <v>12.600000000000001</v>
      </c>
      <c r="I13" s="1">
        <v>536367</v>
      </c>
      <c r="J13" s="1">
        <v>22745</v>
      </c>
      <c r="K13" s="1" t="s">
        <v>23</v>
      </c>
      <c r="L13" s="1">
        <v>6</v>
      </c>
      <c r="M13" s="2">
        <v>40513.356944444444</v>
      </c>
      <c r="N13" s="1">
        <v>2.1</v>
      </c>
      <c r="O13" s="1">
        <v>13047</v>
      </c>
      <c r="P13" s="1" t="s">
        <v>10</v>
      </c>
      <c r="Q13" s="1"/>
    </row>
    <row r="14" spans="7:17" x14ac:dyDescent="0.25">
      <c r="G14" s="1" t="str">
        <f>TEXT(Table1[[#This Row],[InvoiceDate]],"H AM/PM")</f>
        <v>8 AM</v>
      </c>
      <c r="H14" s="1">
        <f t="shared" si="0"/>
        <v>12.600000000000001</v>
      </c>
      <c r="I14" s="1">
        <v>536367</v>
      </c>
      <c r="J14" s="1">
        <v>22748</v>
      </c>
      <c r="K14" s="1" t="s">
        <v>24</v>
      </c>
      <c r="L14" s="1">
        <v>6</v>
      </c>
      <c r="M14" s="2">
        <v>40513.356944444444</v>
      </c>
      <c r="N14" s="1">
        <v>2.1</v>
      </c>
      <c r="O14" s="1">
        <v>13047</v>
      </c>
      <c r="P14" s="1" t="s">
        <v>10</v>
      </c>
      <c r="Q14" s="1"/>
    </row>
    <row r="15" spans="7:17" x14ac:dyDescent="0.25">
      <c r="G15" s="1" t="str">
        <f>TEXT(Table1[[#This Row],[InvoiceDate]],"H AM/PM")</f>
        <v>8 AM</v>
      </c>
      <c r="H15" s="1">
        <f t="shared" si="0"/>
        <v>30</v>
      </c>
      <c r="I15" s="1">
        <v>536367</v>
      </c>
      <c r="J15" s="1">
        <v>22749</v>
      </c>
      <c r="K15" s="1" t="s">
        <v>25</v>
      </c>
      <c r="L15" s="1">
        <v>8</v>
      </c>
      <c r="M15" s="2">
        <v>40513.356944444444</v>
      </c>
      <c r="N15" s="1">
        <v>3.75</v>
      </c>
      <c r="O15" s="1">
        <v>13047</v>
      </c>
      <c r="P15" s="1" t="s">
        <v>10</v>
      </c>
      <c r="Q15" s="1"/>
    </row>
    <row r="16" spans="7:17" x14ac:dyDescent="0.25">
      <c r="G16" s="1" t="str">
        <f>TEXT(Table1[[#This Row],[InvoiceDate]],"H AM/PM")</f>
        <v>8 AM</v>
      </c>
      <c r="H16" s="1">
        <f t="shared" si="0"/>
        <v>9.8999999999999986</v>
      </c>
      <c r="I16" s="1">
        <v>536367</v>
      </c>
      <c r="J16" s="1">
        <v>22310</v>
      </c>
      <c r="K16" s="1" t="s">
        <v>26</v>
      </c>
      <c r="L16" s="1">
        <v>6</v>
      </c>
      <c r="M16" s="2">
        <v>40513.356944444444</v>
      </c>
      <c r="N16" s="1">
        <v>1.65</v>
      </c>
      <c r="O16" s="1">
        <v>13047</v>
      </c>
      <c r="P16" s="1" t="s">
        <v>10</v>
      </c>
      <c r="Q16" s="1"/>
    </row>
    <row r="17" spans="7:17" x14ac:dyDescent="0.25">
      <c r="G17" s="1" t="str">
        <f>TEXT(Table1[[#This Row],[InvoiceDate]],"H AM/PM")</f>
        <v>8 AM</v>
      </c>
      <c r="H17" s="1">
        <f t="shared" si="0"/>
        <v>25.5</v>
      </c>
      <c r="I17" s="1">
        <v>536367</v>
      </c>
      <c r="J17" s="1">
        <v>84969</v>
      </c>
      <c r="K17" s="1" t="s">
        <v>27</v>
      </c>
      <c r="L17" s="1">
        <v>6</v>
      </c>
      <c r="M17" s="2">
        <v>40513.356944444444</v>
      </c>
      <c r="N17" s="1">
        <v>4.25</v>
      </c>
      <c r="O17" s="1">
        <v>13047</v>
      </c>
      <c r="P17" s="1" t="s">
        <v>10</v>
      </c>
      <c r="Q17" s="1"/>
    </row>
    <row r="18" spans="7:17" x14ac:dyDescent="0.25">
      <c r="G18" s="1" t="str">
        <f>TEXT(Table1[[#This Row],[InvoiceDate]],"H AM/PM")</f>
        <v>8 AM</v>
      </c>
      <c r="H18" s="1">
        <f t="shared" si="0"/>
        <v>14.850000000000001</v>
      </c>
      <c r="I18" s="1">
        <v>536367</v>
      </c>
      <c r="J18" s="1">
        <v>22623</v>
      </c>
      <c r="K18" s="1" t="s">
        <v>28</v>
      </c>
      <c r="L18" s="1">
        <v>3</v>
      </c>
      <c r="M18" s="2">
        <v>40513.356944444444</v>
      </c>
      <c r="N18" s="1">
        <v>4.95</v>
      </c>
      <c r="O18" s="1">
        <v>13047</v>
      </c>
      <c r="P18" s="1" t="s">
        <v>10</v>
      </c>
      <c r="Q18" s="1"/>
    </row>
    <row r="19" spans="7:17" x14ac:dyDescent="0.25">
      <c r="G19" s="1" t="str">
        <f>TEXT(Table1[[#This Row],[InvoiceDate]],"H AM/PM")</f>
        <v>8 AM</v>
      </c>
      <c r="H19" s="1">
        <f t="shared" si="0"/>
        <v>19.899999999999999</v>
      </c>
      <c r="I19" s="1">
        <v>536367</v>
      </c>
      <c r="J19" s="1">
        <v>22622</v>
      </c>
      <c r="K19" s="1" t="s">
        <v>29</v>
      </c>
      <c r="L19" s="1">
        <v>2</v>
      </c>
      <c r="M19" s="2">
        <v>40513.356944444444</v>
      </c>
      <c r="N19" s="1">
        <v>9.9499999999999993</v>
      </c>
      <c r="O19" s="1">
        <v>13047</v>
      </c>
      <c r="P19" s="1" t="s">
        <v>10</v>
      </c>
      <c r="Q19" s="1"/>
    </row>
    <row r="20" spans="7:17" x14ac:dyDescent="0.25">
      <c r="G20" s="1" t="str">
        <f>TEXT(Table1[[#This Row],[InvoiceDate]],"H AM/PM")</f>
        <v>8 AM</v>
      </c>
      <c r="H20" s="1">
        <f t="shared" si="0"/>
        <v>17.850000000000001</v>
      </c>
      <c r="I20" s="1">
        <v>536367</v>
      </c>
      <c r="J20" s="1">
        <v>21754</v>
      </c>
      <c r="K20" s="1" t="s">
        <v>30</v>
      </c>
      <c r="L20" s="1">
        <v>3</v>
      </c>
      <c r="M20" s="2">
        <v>40513.356944444444</v>
      </c>
      <c r="N20" s="1">
        <v>5.95</v>
      </c>
      <c r="O20" s="1">
        <v>13047</v>
      </c>
      <c r="P20" s="1" t="s">
        <v>10</v>
      </c>
      <c r="Q20" s="1"/>
    </row>
    <row r="21" spans="7:17" x14ac:dyDescent="0.25">
      <c r="G21" s="1" t="str">
        <f>TEXT(Table1[[#This Row],[InvoiceDate]],"H AM/PM")</f>
        <v>8 AM</v>
      </c>
      <c r="H21" s="1">
        <f t="shared" si="0"/>
        <v>17.850000000000001</v>
      </c>
      <c r="I21" s="1">
        <v>536367</v>
      </c>
      <c r="J21" s="1">
        <v>21755</v>
      </c>
      <c r="K21" s="1" t="s">
        <v>31</v>
      </c>
      <c r="L21" s="1">
        <v>3</v>
      </c>
      <c r="M21" s="2">
        <v>40513.356944444444</v>
      </c>
      <c r="N21" s="1">
        <v>5.95</v>
      </c>
      <c r="O21" s="1">
        <v>13047</v>
      </c>
      <c r="P21" s="1" t="s">
        <v>10</v>
      </c>
      <c r="Q21" s="1"/>
    </row>
    <row r="22" spans="7:17" x14ac:dyDescent="0.25">
      <c r="G22" s="1" t="str">
        <f>TEXT(Table1[[#This Row],[InvoiceDate]],"H AM/PM")</f>
        <v>8 AM</v>
      </c>
      <c r="H22" s="1">
        <f t="shared" si="0"/>
        <v>31.8</v>
      </c>
      <c r="I22" s="1">
        <v>536367</v>
      </c>
      <c r="J22" s="1">
        <v>21777</v>
      </c>
      <c r="K22" s="1" t="s">
        <v>32</v>
      </c>
      <c r="L22" s="1">
        <v>4</v>
      </c>
      <c r="M22" s="2">
        <v>40513.356944444444</v>
      </c>
      <c r="N22" s="1">
        <v>7.95</v>
      </c>
      <c r="O22" s="1">
        <v>13047</v>
      </c>
      <c r="P22" s="1" t="s">
        <v>10</v>
      </c>
      <c r="Q22" s="1"/>
    </row>
    <row r="23" spans="7:17" x14ac:dyDescent="0.25">
      <c r="G23" s="1" t="str">
        <f>TEXT(Table1[[#This Row],[InvoiceDate]],"H AM/PM")</f>
        <v>8 AM</v>
      </c>
      <c r="H23" s="1">
        <f t="shared" si="0"/>
        <v>31.8</v>
      </c>
      <c r="I23" s="1">
        <v>536367</v>
      </c>
      <c r="J23" s="1">
        <v>48187</v>
      </c>
      <c r="K23" s="1" t="s">
        <v>33</v>
      </c>
      <c r="L23" s="1">
        <v>4</v>
      </c>
      <c r="M23" s="2">
        <v>40513.356944444444</v>
      </c>
      <c r="N23" s="1">
        <v>7.95</v>
      </c>
      <c r="O23" s="1">
        <v>13047</v>
      </c>
      <c r="P23" s="1" t="s">
        <v>10</v>
      </c>
      <c r="Q23" s="1"/>
    </row>
    <row r="24" spans="7:17" x14ac:dyDescent="0.25">
      <c r="G24" s="1" t="str">
        <f>TEXT(Table1[[#This Row],[InvoiceDate]],"H AM/PM")</f>
        <v>8 AM</v>
      </c>
      <c r="H24" s="1">
        <f t="shared" si="0"/>
        <v>25.5</v>
      </c>
      <c r="I24" s="1">
        <v>536368</v>
      </c>
      <c r="J24" s="1">
        <v>22960</v>
      </c>
      <c r="K24" s="1" t="s">
        <v>34</v>
      </c>
      <c r="L24" s="1">
        <v>6</v>
      </c>
      <c r="M24" s="2">
        <v>40513.356944444444</v>
      </c>
      <c r="N24" s="1">
        <v>4.25</v>
      </c>
      <c r="O24" s="1">
        <v>13047</v>
      </c>
      <c r="P24" s="1" t="s">
        <v>10</v>
      </c>
      <c r="Q24" s="1"/>
    </row>
    <row r="25" spans="7:17" x14ac:dyDescent="0.25">
      <c r="G25" s="1" t="str">
        <f>TEXT(Table1[[#This Row],[InvoiceDate]],"H AM/PM")</f>
        <v>8 AM</v>
      </c>
      <c r="H25" s="1">
        <f t="shared" si="0"/>
        <v>14.850000000000001</v>
      </c>
      <c r="I25" s="1">
        <v>536368</v>
      </c>
      <c r="J25" s="1">
        <v>22913</v>
      </c>
      <c r="K25" s="1" t="s">
        <v>35</v>
      </c>
      <c r="L25" s="1">
        <v>3</v>
      </c>
      <c r="M25" s="2">
        <v>40513.356944444444</v>
      </c>
      <c r="N25" s="1">
        <v>4.95</v>
      </c>
      <c r="O25" s="1">
        <v>13047</v>
      </c>
      <c r="P25" s="1" t="s">
        <v>10</v>
      </c>
      <c r="Q25" s="1"/>
    </row>
    <row r="26" spans="7:17" x14ac:dyDescent="0.25">
      <c r="G26" s="1" t="str">
        <f>TEXT(Table1[[#This Row],[InvoiceDate]],"H AM/PM")</f>
        <v>8 AM</v>
      </c>
      <c r="H26" s="1">
        <f t="shared" si="0"/>
        <v>14.850000000000001</v>
      </c>
      <c r="I26" s="1">
        <v>536368</v>
      </c>
      <c r="J26" s="1">
        <v>22912</v>
      </c>
      <c r="K26" s="1" t="s">
        <v>36</v>
      </c>
      <c r="L26" s="1">
        <v>3</v>
      </c>
      <c r="M26" s="2">
        <v>40513.356944444444</v>
      </c>
      <c r="N26" s="1">
        <v>4.95</v>
      </c>
      <c r="O26" s="1">
        <v>13047</v>
      </c>
      <c r="P26" s="1" t="s">
        <v>10</v>
      </c>
      <c r="Q26" s="1"/>
    </row>
    <row r="27" spans="7:17" x14ac:dyDescent="0.25">
      <c r="G27" s="1" t="str">
        <f>TEXT(Table1[[#This Row],[InvoiceDate]],"H AM/PM")</f>
        <v>8 AM</v>
      </c>
      <c r="H27" s="1">
        <f t="shared" si="0"/>
        <v>14.850000000000001</v>
      </c>
      <c r="I27" s="1">
        <v>536368</v>
      </c>
      <c r="J27" s="1">
        <v>22914</v>
      </c>
      <c r="K27" s="1" t="s">
        <v>37</v>
      </c>
      <c r="L27" s="1">
        <v>3</v>
      </c>
      <c r="M27" s="2">
        <v>40513.356944444444</v>
      </c>
      <c r="N27" s="1">
        <v>4.95</v>
      </c>
      <c r="O27" s="1">
        <v>13047</v>
      </c>
      <c r="P27" s="1" t="s">
        <v>10</v>
      </c>
      <c r="Q27" s="1"/>
    </row>
    <row r="28" spans="7:17" x14ac:dyDescent="0.25">
      <c r="G28" s="1" t="str">
        <f>TEXT(Table1[[#This Row],[InvoiceDate]],"H AM/PM")</f>
        <v>8 AM</v>
      </c>
      <c r="H28" s="1">
        <f t="shared" si="0"/>
        <v>17.850000000000001</v>
      </c>
      <c r="I28" s="1">
        <v>536369</v>
      </c>
      <c r="J28" s="1">
        <v>21756</v>
      </c>
      <c r="K28" s="1" t="s">
        <v>38</v>
      </c>
      <c r="L28" s="1">
        <v>3</v>
      </c>
      <c r="M28" s="2">
        <v>40513.357638888891</v>
      </c>
      <c r="N28" s="1">
        <v>5.95</v>
      </c>
      <c r="O28" s="1">
        <v>13047</v>
      </c>
      <c r="P28" s="1" t="s">
        <v>10</v>
      </c>
      <c r="Q28" s="1"/>
    </row>
    <row r="29" spans="7:17" x14ac:dyDescent="0.25">
      <c r="G29" s="1" t="str">
        <f>TEXT(Table1[[#This Row],[InvoiceDate]],"H AM/PM")</f>
        <v>8 AM</v>
      </c>
      <c r="H29" s="1">
        <f t="shared" si="0"/>
        <v>90</v>
      </c>
      <c r="I29" s="1">
        <v>536370</v>
      </c>
      <c r="J29" s="1">
        <v>22728</v>
      </c>
      <c r="K29" s="1" t="s">
        <v>39</v>
      </c>
      <c r="L29" s="1">
        <v>24</v>
      </c>
      <c r="M29" s="2">
        <v>40513.364583333336</v>
      </c>
      <c r="N29" s="1">
        <v>3.75</v>
      </c>
      <c r="O29" s="1">
        <v>12583</v>
      </c>
      <c r="P29" s="1" t="s">
        <v>40</v>
      </c>
      <c r="Q29" s="1"/>
    </row>
    <row r="30" spans="7:17" x14ac:dyDescent="0.25">
      <c r="G30" s="1" t="str">
        <f>TEXT(Table1[[#This Row],[InvoiceDate]],"H AM/PM")</f>
        <v>8 AM</v>
      </c>
      <c r="H30" s="1">
        <f t="shared" si="0"/>
        <v>90</v>
      </c>
      <c r="I30" s="1">
        <v>536370</v>
      </c>
      <c r="J30" s="1">
        <v>22727</v>
      </c>
      <c r="K30" s="1" t="s">
        <v>41</v>
      </c>
      <c r="L30" s="1">
        <v>24</v>
      </c>
      <c r="M30" s="2">
        <v>40513.364583333336</v>
      </c>
      <c r="N30" s="1">
        <v>3.75</v>
      </c>
      <c r="O30" s="1">
        <v>12583</v>
      </c>
      <c r="P30" s="1" t="s">
        <v>40</v>
      </c>
      <c r="Q30" s="1"/>
    </row>
    <row r="31" spans="7:17" x14ac:dyDescent="0.25">
      <c r="G31" s="1" t="str">
        <f>TEXT(Table1[[#This Row],[InvoiceDate]],"H AM/PM")</f>
        <v>8 AM</v>
      </c>
      <c r="H31" s="1">
        <f t="shared" si="0"/>
        <v>45</v>
      </c>
      <c r="I31" s="1">
        <v>536370</v>
      </c>
      <c r="J31" s="1">
        <v>22726</v>
      </c>
      <c r="K31" s="1" t="s">
        <v>42</v>
      </c>
      <c r="L31" s="1">
        <v>12</v>
      </c>
      <c r="M31" s="2">
        <v>40513.364583333336</v>
      </c>
      <c r="N31" s="1">
        <v>3.75</v>
      </c>
      <c r="O31" s="1">
        <v>12583</v>
      </c>
      <c r="P31" s="1" t="s">
        <v>40</v>
      </c>
      <c r="Q31" s="1"/>
    </row>
    <row r="32" spans="7:17" x14ac:dyDescent="0.25">
      <c r="G32" s="1" t="str">
        <f>TEXT(Table1[[#This Row],[InvoiceDate]],"H AM/PM")</f>
        <v>8 AM</v>
      </c>
      <c r="H32" s="1">
        <f t="shared" si="0"/>
        <v>10.199999999999999</v>
      </c>
      <c r="I32" s="1">
        <v>536370</v>
      </c>
      <c r="J32" s="1">
        <v>21724</v>
      </c>
      <c r="K32" s="1" t="s">
        <v>43</v>
      </c>
      <c r="L32" s="1">
        <v>12</v>
      </c>
      <c r="M32" s="2">
        <v>40513.364583333336</v>
      </c>
      <c r="N32" s="1">
        <v>0.85</v>
      </c>
      <c r="O32" s="1">
        <v>12583</v>
      </c>
      <c r="P32" s="1" t="s">
        <v>40</v>
      </c>
      <c r="Q32" s="1"/>
    </row>
    <row r="33" spans="7:17" x14ac:dyDescent="0.25">
      <c r="G33" s="1" t="str">
        <f>TEXT(Table1[[#This Row],[InvoiceDate]],"H AM/PM")</f>
        <v>8 AM</v>
      </c>
      <c r="H33" s="1">
        <f t="shared" si="0"/>
        <v>15.600000000000001</v>
      </c>
      <c r="I33" s="1">
        <v>536370</v>
      </c>
      <c r="J33" s="1">
        <v>21883</v>
      </c>
      <c r="K33" s="1" t="s">
        <v>44</v>
      </c>
      <c r="L33" s="1">
        <v>24</v>
      </c>
      <c r="M33" s="2">
        <v>40513.364583333336</v>
      </c>
      <c r="N33" s="1">
        <v>0.65</v>
      </c>
      <c r="O33" s="1">
        <v>12583</v>
      </c>
      <c r="P33" s="1" t="s">
        <v>40</v>
      </c>
      <c r="Q33" s="1"/>
    </row>
    <row r="34" spans="7:17" x14ac:dyDescent="0.25">
      <c r="G34" s="1" t="str">
        <f>TEXT(Table1[[#This Row],[InvoiceDate]],"H AM/PM")</f>
        <v>8 AM</v>
      </c>
      <c r="H34" s="1">
        <f t="shared" si="0"/>
        <v>40.799999999999997</v>
      </c>
      <c r="I34" s="1">
        <v>536370</v>
      </c>
      <c r="J34" s="1">
        <v>10002</v>
      </c>
      <c r="K34" s="1" t="s">
        <v>45</v>
      </c>
      <c r="L34" s="1">
        <v>48</v>
      </c>
      <c r="M34" s="2">
        <v>40513.364583333336</v>
      </c>
      <c r="N34" s="1">
        <v>0.85</v>
      </c>
      <c r="O34" s="1">
        <v>12583</v>
      </c>
      <c r="P34" s="1" t="s">
        <v>40</v>
      </c>
      <c r="Q34" s="1"/>
    </row>
    <row r="35" spans="7:17" x14ac:dyDescent="0.25">
      <c r="G35" s="1" t="str">
        <f>TEXT(Table1[[#This Row],[InvoiceDate]],"H AM/PM")</f>
        <v>8 AM</v>
      </c>
      <c r="H35" s="1">
        <f t="shared" si="0"/>
        <v>30</v>
      </c>
      <c r="I35" s="1">
        <v>536370</v>
      </c>
      <c r="J35" s="1">
        <v>21791</v>
      </c>
      <c r="K35" s="1" t="s">
        <v>46</v>
      </c>
      <c r="L35" s="1">
        <v>24</v>
      </c>
      <c r="M35" s="2">
        <v>40513.364583333336</v>
      </c>
      <c r="N35" s="1">
        <v>1.25</v>
      </c>
      <c r="O35" s="1">
        <v>12583</v>
      </c>
      <c r="P35" s="1" t="s">
        <v>40</v>
      </c>
      <c r="Q35" s="1"/>
    </row>
    <row r="36" spans="7:17" x14ac:dyDescent="0.25">
      <c r="G36" s="1" t="str">
        <f>TEXT(Table1[[#This Row],[InvoiceDate]],"H AM/PM")</f>
        <v>8 AM</v>
      </c>
      <c r="H36" s="1">
        <f t="shared" si="0"/>
        <v>53.1</v>
      </c>
      <c r="I36" s="1">
        <v>536370</v>
      </c>
      <c r="J36" s="1">
        <v>21035</v>
      </c>
      <c r="K36" s="1" t="s">
        <v>47</v>
      </c>
      <c r="L36" s="1">
        <v>18</v>
      </c>
      <c r="M36" s="2">
        <v>40513.364583333336</v>
      </c>
      <c r="N36" s="1">
        <v>2.95</v>
      </c>
      <c r="O36" s="1">
        <v>12583</v>
      </c>
      <c r="P36" s="1" t="s">
        <v>40</v>
      </c>
      <c r="Q36" s="1"/>
    </row>
    <row r="37" spans="7:17" x14ac:dyDescent="0.25">
      <c r="G37" s="1" t="str">
        <f>TEXT(Table1[[#This Row],[InvoiceDate]],"H AM/PM")</f>
        <v>8 AM</v>
      </c>
      <c r="H37" s="1">
        <f t="shared" si="0"/>
        <v>70.800000000000011</v>
      </c>
      <c r="I37" s="1">
        <v>536370</v>
      </c>
      <c r="J37" s="1">
        <v>22326</v>
      </c>
      <c r="K37" s="1" t="s">
        <v>48</v>
      </c>
      <c r="L37" s="1">
        <v>24</v>
      </c>
      <c r="M37" s="2">
        <v>40513.364583333336</v>
      </c>
      <c r="N37" s="1">
        <v>2.95</v>
      </c>
      <c r="O37" s="1">
        <v>12583</v>
      </c>
      <c r="P37" s="1" t="s">
        <v>40</v>
      </c>
      <c r="Q37" s="1"/>
    </row>
    <row r="38" spans="7:17" x14ac:dyDescent="0.25">
      <c r="G38" s="1" t="str">
        <f>TEXT(Table1[[#This Row],[InvoiceDate]],"H AM/PM")</f>
        <v>8 AM</v>
      </c>
      <c r="H38" s="1">
        <f t="shared" si="0"/>
        <v>46.8</v>
      </c>
      <c r="I38" s="1">
        <v>536370</v>
      </c>
      <c r="J38" s="1">
        <v>22629</v>
      </c>
      <c r="K38" s="1" t="s">
        <v>49</v>
      </c>
      <c r="L38" s="1">
        <v>24</v>
      </c>
      <c r="M38" s="2">
        <v>40513.364583333336</v>
      </c>
      <c r="N38" s="1">
        <v>1.95</v>
      </c>
      <c r="O38" s="1">
        <v>12583</v>
      </c>
      <c r="P38" s="1" t="s">
        <v>40</v>
      </c>
      <c r="Q38" s="1"/>
    </row>
    <row r="39" spans="7:17" x14ac:dyDescent="0.25">
      <c r="G39" s="1" t="str">
        <f>TEXT(Table1[[#This Row],[InvoiceDate]],"H AM/PM")</f>
        <v>8 AM</v>
      </c>
      <c r="H39" s="1">
        <f t="shared" si="0"/>
        <v>46.8</v>
      </c>
      <c r="I39" s="1">
        <v>536370</v>
      </c>
      <c r="J39" s="1">
        <v>22659</v>
      </c>
      <c r="K39" s="1" t="s">
        <v>50</v>
      </c>
      <c r="L39" s="1">
        <v>24</v>
      </c>
      <c r="M39" s="2">
        <v>40513.364583333336</v>
      </c>
      <c r="N39" s="1">
        <v>1.95</v>
      </c>
      <c r="O39" s="1">
        <v>12583</v>
      </c>
      <c r="P39" s="1" t="s">
        <v>40</v>
      </c>
      <c r="Q39" s="1"/>
    </row>
    <row r="40" spans="7:17" x14ac:dyDescent="0.25">
      <c r="G40" s="1" t="str">
        <f>TEXT(Table1[[#This Row],[InvoiceDate]],"H AM/PM")</f>
        <v>8 AM</v>
      </c>
      <c r="H40" s="1">
        <f t="shared" si="0"/>
        <v>46.8</v>
      </c>
      <c r="I40" s="1">
        <v>536370</v>
      </c>
      <c r="J40" s="1">
        <v>22631</v>
      </c>
      <c r="K40" s="1" t="s">
        <v>51</v>
      </c>
      <c r="L40" s="1">
        <v>24</v>
      </c>
      <c r="M40" s="2">
        <v>40513.364583333336</v>
      </c>
      <c r="N40" s="1">
        <v>1.95</v>
      </c>
      <c r="O40" s="1">
        <v>12583</v>
      </c>
      <c r="P40" s="1" t="s">
        <v>40</v>
      </c>
      <c r="Q40" s="1"/>
    </row>
    <row r="41" spans="7:17" x14ac:dyDescent="0.25">
      <c r="G41" s="1" t="str">
        <f>TEXT(Table1[[#This Row],[InvoiceDate]],"H AM/PM")</f>
        <v>8 AM</v>
      </c>
      <c r="H41" s="1">
        <f t="shared" si="0"/>
        <v>17</v>
      </c>
      <c r="I41" s="1">
        <v>536370</v>
      </c>
      <c r="J41" s="1">
        <v>22661</v>
      </c>
      <c r="K41" s="1" t="s">
        <v>52</v>
      </c>
      <c r="L41" s="1">
        <v>20</v>
      </c>
      <c r="M41" s="2">
        <v>40513.364583333336</v>
      </c>
      <c r="N41" s="1">
        <v>0.85</v>
      </c>
      <c r="O41" s="1">
        <v>12583</v>
      </c>
      <c r="P41" s="1" t="s">
        <v>40</v>
      </c>
      <c r="Q41" s="1"/>
    </row>
    <row r="42" spans="7:17" x14ac:dyDescent="0.25">
      <c r="G42" s="1" t="str">
        <f>TEXT(Table1[[#This Row],[InvoiceDate]],"H AM/PM")</f>
        <v>8 AM</v>
      </c>
      <c r="H42" s="1">
        <f t="shared" si="0"/>
        <v>39.599999999999994</v>
      </c>
      <c r="I42" s="1">
        <v>536370</v>
      </c>
      <c r="J42" s="1">
        <v>21731</v>
      </c>
      <c r="K42" s="1" t="s">
        <v>53</v>
      </c>
      <c r="L42" s="1">
        <v>24</v>
      </c>
      <c r="M42" s="2">
        <v>40513.364583333336</v>
      </c>
      <c r="N42" s="1">
        <v>1.65</v>
      </c>
      <c r="O42" s="1">
        <v>12583</v>
      </c>
      <c r="P42" s="1" t="s">
        <v>40</v>
      </c>
      <c r="Q42" s="1"/>
    </row>
    <row r="43" spans="7:17" x14ac:dyDescent="0.25">
      <c r="G43" s="1" t="str">
        <f>TEXT(Table1[[#This Row],[InvoiceDate]],"H AM/PM")</f>
        <v>8 AM</v>
      </c>
      <c r="H43" s="1">
        <f t="shared" si="0"/>
        <v>70.800000000000011</v>
      </c>
      <c r="I43" s="1">
        <v>536370</v>
      </c>
      <c r="J43" s="1">
        <v>22900</v>
      </c>
      <c r="K43" s="1" t="s">
        <v>54</v>
      </c>
      <c r="L43" s="1">
        <v>24</v>
      </c>
      <c r="M43" s="2">
        <v>40513.364583333336</v>
      </c>
      <c r="N43" s="1">
        <v>2.95</v>
      </c>
      <c r="O43" s="1">
        <v>12583</v>
      </c>
      <c r="P43" s="1" t="s">
        <v>40</v>
      </c>
      <c r="Q43" s="1"/>
    </row>
    <row r="44" spans="7:17" x14ac:dyDescent="0.25">
      <c r="G44" s="1" t="str">
        <f>TEXT(Table1[[#This Row],[InvoiceDate]],"H AM/PM")</f>
        <v>8 AM</v>
      </c>
      <c r="H44" s="1">
        <f t="shared" si="0"/>
        <v>45</v>
      </c>
      <c r="I44" s="1">
        <v>536370</v>
      </c>
      <c r="J44" s="1">
        <v>21913</v>
      </c>
      <c r="K44" s="1" t="s">
        <v>55</v>
      </c>
      <c r="L44" s="1">
        <v>12</v>
      </c>
      <c r="M44" s="2">
        <v>40513.364583333336</v>
      </c>
      <c r="N44" s="1">
        <v>3.75</v>
      </c>
      <c r="O44" s="1">
        <v>12583</v>
      </c>
      <c r="P44" s="1" t="s">
        <v>40</v>
      </c>
      <c r="Q44" s="1"/>
    </row>
    <row r="45" spans="7:17" x14ac:dyDescent="0.25">
      <c r="G45" s="1" t="str">
        <f>TEXT(Table1[[#This Row],[InvoiceDate]],"H AM/PM")</f>
        <v>8 AM</v>
      </c>
      <c r="H45" s="1">
        <f t="shared" si="0"/>
        <v>10.08</v>
      </c>
      <c r="I45" s="1">
        <v>536370</v>
      </c>
      <c r="J45" s="1">
        <v>22540</v>
      </c>
      <c r="K45" s="1" t="s">
        <v>56</v>
      </c>
      <c r="L45" s="1">
        <v>24</v>
      </c>
      <c r="M45" s="2">
        <v>40513.364583333336</v>
      </c>
      <c r="N45" s="1">
        <v>0.42</v>
      </c>
      <c r="O45" s="1">
        <v>12583</v>
      </c>
      <c r="P45" s="1" t="s">
        <v>40</v>
      </c>
      <c r="Q45" s="1"/>
    </row>
    <row r="46" spans="7:17" x14ac:dyDescent="0.25">
      <c r="G46" s="1" t="str">
        <f>TEXT(Table1[[#This Row],[InvoiceDate]],"H AM/PM")</f>
        <v>8 AM</v>
      </c>
      <c r="H46" s="1">
        <f t="shared" si="0"/>
        <v>10.08</v>
      </c>
      <c r="I46" s="1">
        <v>536370</v>
      </c>
      <c r="J46" s="1">
        <v>22544</v>
      </c>
      <c r="K46" s="1" t="s">
        <v>57</v>
      </c>
      <c r="L46" s="1">
        <v>24</v>
      </c>
      <c r="M46" s="2">
        <v>40513.364583333336</v>
      </c>
      <c r="N46" s="1">
        <v>0.42</v>
      </c>
      <c r="O46" s="1">
        <v>12583</v>
      </c>
      <c r="P46" s="1" t="s">
        <v>40</v>
      </c>
      <c r="Q46" s="1"/>
    </row>
    <row r="47" spans="7:17" x14ac:dyDescent="0.25">
      <c r="G47" s="1" t="str">
        <f>TEXT(Table1[[#This Row],[InvoiceDate]],"H AM/PM")</f>
        <v>8 AM</v>
      </c>
      <c r="H47" s="1">
        <f t="shared" si="0"/>
        <v>23.400000000000002</v>
      </c>
      <c r="I47" s="1">
        <v>536370</v>
      </c>
      <c r="J47" s="1">
        <v>22492</v>
      </c>
      <c r="K47" s="1" t="s">
        <v>58</v>
      </c>
      <c r="L47" s="1">
        <v>36</v>
      </c>
      <c r="M47" s="2">
        <v>40513.364583333336</v>
      </c>
      <c r="N47" s="1">
        <v>0.65</v>
      </c>
      <c r="O47" s="1">
        <v>12583</v>
      </c>
      <c r="P47" s="1" t="s">
        <v>40</v>
      </c>
      <c r="Q47" s="1"/>
    </row>
    <row r="48" spans="7:17" x14ac:dyDescent="0.25">
      <c r="G48" s="1" t="str">
        <f>TEXT(Table1[[#This Row],[InvoiceDate]],"H AM/PM")</f>
        <v>8 AM</v>
      </c>
      <c r="H48" s="1">
        <f t="shared" si="0"/>
        <v>54</v>
      </c>
      <c r="I48" s="1">
        <v>536370</v>
      </c>
      <c r="J48" s="1" t="s">
        <v>59</v>
      </c>
      <c r="K48" s="1" t="s">
        <v>60</v>
      </c>
      <c r="L48" s="1">
        <v>3</v>
      </c>
      <c r="M48" s="2">
        <v>40513.364583333336</v>
      </c>
      <c r="N48" s="1">
        <v>18</v>
      </c>
      <c r="O48" s="1">
        <v>12583</v>
      </c>
      <c r="P48" s="1" t="s">
        <v>40</v>
      </c>
      <c r="Q48" s="1"/>
    </row>
    <row r="49" spans="7:17" x14ac:dyDescent="0.25">
      <c r="G49" s="1" t="str">
        <f>TEXT(Table1[[#This Row],[InvoiceDate]],"H AM/PM")</f>
        <v>9 AM</v>
      </c>
      <c r="H49" s="1">
        <f t="shared" si="0"/>
        <v>204</v>
      </c>
      <c r="I49" s="1">
        <v>536371</v>
      </c>
      <c r="J49" s="1">
        <v>22086</v>
      </c>
      <c r="K49" s="1" t="s">
        <v>61</v>
      </c>
      <c r="L49" s="1">
        <v>80</v>
      </c>
      <c r="M49" s="2">
        <v>40513.375</v>
      </c>
      <c r="N49" s="1">
        <v>2.5499999999999998</v>
      </c>
      <c r="O49" s="1">
        <v>13748</v>
      </c>
      <c r="P49" s="1" t="s">
        <v>10</v>
      </c>
      <c r="Q49" s="1"/>
    </row>
    <row r="50" spans="7:17" x14ac:dyDescent="0.25">
      <c r="G50" s="1" t="str">
        <f>TEXT(Table1[[#This Row],[InvoiceDate]],"H AM/PM")</f>
        <v>9 AM</v>
      </c>
      <c r="H50" s="1">
        <f t="shared" si="0"/>
        <v>11.100000000000001</v>
      </c>
      <c r="I50" s="1">
        <v>536372</v>
      </c>
      <c r="J50" s="1">
        <v>22632</v>
      </c>
      <c r="K50" s="1" t="s">
        <v>21</v>
      </c>
      <c r="L50" s="1">
        <v>6</v>
      </c>
      <c r="M50" s="2">
        <v>40513.375694444447</v>
      </c>
      <c r="N50" s="1">
        <v>1.85</v>
      </c>
      <c r="O50" s="1">
        <v>17850</v>
      </c>
      <c r="P50" s="1" t="s">
        <v>10</v>
      </c>
      <c r="Q50" s="1"/>
    </row>
    <row r="51" spans="7:17" x14ac:dyDescent="0.25">
      <c r="G51" s="1" t="str">
        <f>TEXT(Table1[[#This Row],[InvoiceDate]],"H AM/PM")</f>
        <v>9 AM</v>
      </c>
      <c r="H51" s="1">
        <f t="shared" si="0"/>
        <v>11.100000000000001</v>
      </c>
      <c r="I51" s="1">
        <v>536372</v>
      </c>
      <c r="J51" s="1">
        <v>22633</v>
      </c>
      <c r="K51" s="1" t="s">
        <v>20</v>
      </c>
      <c r="L51" s="1">
        <v>6</v>
      </c>
      <c r="M51" s="2">
        <v>40513.375694444447</v>
      </c>
      <c r="N51" s="1">
        <v>1.85</v>
      </c>
      <c r="O51" s="1">
        <v>17850</v>
      </c>
      <c r="P51" s="1" t="s">
        <v>10</v>
      </c>
      <c r="Q51" s="1"/>
    </row>
    <row r="52" spans="7:17" x14ac:dyDescent="0.25">
      <c r="G52" s="1" t="str">
        <f>TEXT(Table1[[#This Row],[InvoiceDate]],"H AM/PM")</f>
        <v>9 AM</v>
      </c>
      <c r="H52" s="1">
        <f t="shared" si="0"/>
        <v>15.299999999999999</v>
      </c>
      <c r="I52" s="1">
        <v>536373</v>
      </c>
      <c r="J52" s="1" t="s">
        <v>8</v>
      </c>
      <c r="K52" s="1" t="s">
        <v>9</v>
      </c>
      <c r="L52" s="1">
        <v>6</v>
      </c>
      <c r="M52" s="2">
        <v>40513.376388888886</v>
      </c>
      <c r="N52" s="1">
        <v>2.5499999999999998</v>
      </c>
      <c r="O52" s="1">
        <v>17850</v>
      </c>
      <c r="P52" s="1" t="s">
        <v>10</v>
      </c>
      <c r="Q52" s="1"/>
    </row>
    <row r="53" spans="7:17" x14ac:dyDescent="0.25">
      <c r="G53" s="1" t="str">
        <f>TEXT(Table1[[#This Row],[InvoiceDate]],"H AM/PM")</f>
        <v>9 AM</v>
      </c>
      <c r="H53" s="1">
        <f t="shared" si="0"/>
        <v>20.34</v>
      </c>
      <c r="I53" s="1">
        <v>536373</v>
      </c>
      <c r="J53" s="1">
        <v>71053</v>
      </c>
      <c r="K53" s="1" t="s">
        <v>11</v>
      </c>
      <c r="L53" s="1">
        <v>6</v>
      </c>
      <c r="M53" s="2">
        <v>40513.376388888886</v>
      </c>
      <c r="N53" s="1">
        <v>3.39</v>
      </c>
      <c r="O53" s="1">
        <v>17850</v>
      </c>
      <c r="P53" s="1" t="s">
        <v>10</v>
      </c>
      <c r="Q53" s="1"/>
    </row>
    <row r="54" spans="7:17" x14ac:dyDescent="0.25">
      <c r="G54" s="1" t="str">
        <f>TEXT(Table1[[#This Row],[InvoiceDate]],"H AM/PM")</f>
        <v>9 AM</v>
      </c>
      <c r="H54" s="1">
        <f t="shared" si="0"/>
        <v>22</v>
      </c>
      <c r="I54" s="1">
        <v>536373</v>
      </c>
      <c r="J54" s="1" t="s">
        <v>12</v>
      </c>
      <c r="K54" s="1" t="s">
        <v>13</v>
      </c>
      <c r="L54" s="1">
        <v>8</v>
      </c>
      <c r="M54" s="2">
        <v>40513.376388888886</v>
      </c>
      <c r="N54" s="1">
        <v>2.75</v>
      </c>
      <c r="O54" s="1">
        <v>17850</v>
      </c>
      <c r="P54" s="1" t="s">
        <v>10</v>
      </c>
      <c r="Q54" s="1"/>
    </row>
    <row r="55" spans="7:17" x14ac:dyDescent="0.25">
      <c r="G55" s="1" t="str">
        <f>TEXT(Table1[[#This Row],[InvoiceDate]],"H AM/PM")</f>
        <v>9 AM</v>
      </c>
      <c r="H55" s="1">
        <f t="shared" si="0"/>
        <v>29.700000000000003</v>
      </c>
      <c r="I55" s="1">
        <v>536373</v>
      </c>
      <c r="J55" s="1">
        <v>20679</v>
      </c>
      <c r="K55" s="1" t="s">
        <v>62</v>
      </c>
      <c r="L55" s="1">
        <v>6</v>
      </c>
      <c r="M55" s="2">
        <v>40513.376388888886</v>
      </c>
      <c r="N55" s="1">
        <v>4.95</v>
      </c>
      <c r="O55" s="1">
        <v>17850</v>
      </c>
      <c r="P55" s="1" t="s">
        <v>10</v>
      </c>
      <c r="Q55" s="1"/>
    </row>
    <row r="56" spans="7:17" x14ac:dyDescent="0.25">
      <c r="G56" s="1" t="str">
        <f>TEXT(Table1[[#This Row],[InvoiceDate]],"H AM/PM")</f>
        <v>9 AM</v>
      </c>
      <c r="H56" s="1">
        <f t="shared" si="0"/>
        <v>6.36</v>
      </c>
      <c r="I56" s="1">
        <v>536373</v>
      </c>
      <c r="J56" s="1">
        <v>37370</v>
      </c>
      <c r="K56" s="1" t="s">
        <v>63</v>
      </c>
      <c r="L56" s="1">
        <v>6</v>
      </c>
      <c r="M56" s="2">
        <v>40513.376388888886</v>
      </c>
      <c r="N56" s="1">
        <v>1.06</v>
      </c>
      <c r="O56" s="1">
        <v>17850</v>
      </c>
      <c r="P56" s="1" t="s">
        <v>10</v>
      </c>
      <c r="Q56" s="1"/>
    </row>
    <row r="57" spans="7:17" x14ac:dyDescent="0.25">
      <c r="G57" s="1" t="str">
        <f>TEXT(Table1[[#This Row],[InvoiceDate]],"H AM/PM")</f>
        <v>9 AM</v>
      </c>
      <c r="H57" s="1">
        <f t="shared" si="0"/>
        <v>6.36</v>
      </c>
      <c r="I57" s="1">
        <v>536373</v>
      </c>
      <c r="J57" s="1">
        <v>21871</v>
      </c>
      <c r="K57" s="1" t="s">
        <v>64</v>
      </c>
      <c r="L57" s="1">
        <v>6</v>
      </c>
      <c r="M57" s="2">
        <v>40513.376388888886</v>
      </c>
      <c r="N57" s="1">
        <v>1.06</v>
      </c>
      <c r="O57" s="1">
        <v>17850</v>
      </c>
      <c r="P57" s="1" t="s">
        <v>10</v>
      </c>
      <c r="Q57" s="1"/>
    </row>
    <row r="58" spans="7:17" x14ac:dyDescent="0.25">
      <c r="G58" s="1" t="str">
        <f>TEXT(Table1[[#This Row],[InvoiceDate]],"H AM/PM")</f>
        <v>9 AM</v>
      </c>
      <c r="H58" s="1">
        <f t="shared" si="0"/>
        <v>6.36</v>
      </c>
      <c r="I58" s="1">
        <v>536373</v>
      </c>
      <c r="J58" s="1">
        <v>21071</v>
      </c>
      <c r="K58" s="1" t="s">
        <v>65</v>
      </c>
      <c r="L58" s="1">
        <v>6</v>
      </c>
      <c r="M58" s="2">
        <v>40513.376388888886</v>
      </c>
      <c r="N58" s="1">
        <v>1.06</v>
      </c>
      <c r="O58" s="1">
        <v>17850</v>
      </c>
      <c r="P58" s="1" t="s">
        <v>10</v>
      </c>
      <c r="Q58" s="1"/>
    </row>
    <row r="59" spans="7:17" x14ac:dyDescent="0.25">
      <c r="G59" s="1" t="str">
        <f>TEXT(Table1[[#This Row],[InvoiceDate]],"H AM/PM")</f>
        <v>9 AM</v>
      </c>
      <c r="H59" s="1">
        <f t="shared" si="0"/>
        <v>6.36</v>
      </c>
      <c r="I59" s="1">
        <v>536373</v>
      </c>
      <c r="J59" s="1">
        <v>21068</v>
      </c>
      <c r="K59" s="1" t="s">
        <v>66</v>
      </c>
      <c r="L59" s="1">
        <v>6</v>
      </c>
      <c r="M59" s="2">
        <v>40513.376388888886</v>
      </c>
      <c r="N59" s="1">
        <v>1.06</v>
      </c>
      <c r="O59" s="1">
        <v>17850</v>
      </c>
      <c r="P59" s="1" t="s">
        <v>10</v>
      </c>
      <c r="Q59" s="1"/>
    </row>
    <row r="60" spans="7:17" x14ac:dyDescent="0.25">
      <c r="G60" s="1" t="str">
        <f>TEXT(Table1[[#This Row],[InvoiceDate]],"H AM/PM")</f>
        <v>9 AM</v>
      </c>
      <c r="H60" s="1">
        <f t="shared" si="0"/>
        <v>9.9</v>
      </c>
      <c r="I60" s="1">
        <v>536373</v>
      </c>
      <c r="J60" s="1">
        <v>82483</v>
      </c>
      <c r="K60" s="1" t="s">
        <v>67</v>
      </c>
      <c r="L60" s="1">
        <v>2</v>
      </c>
      <c r="M60" s="2">
        <v>40513.376388888886</v>
      </c>
      <c r="N60" s="1">
        <v>4.95</v>
      </c>
      <c r="O60" s="1">
        <v>17850</v>
      </c>
      <c r="P60" s="1" t="s">
        <v>10</v>
      </c>
      <c r="Q60" s="1"/>
    </row>
    <row r="61" spans="7:17" x14ac:dyDescent="0.25">
      <c r="G61" s="1" t="str">
        <f>TEXT(Table1[[#This Row],[InvoiceDate]],"H AM/PM")</f>
        <v>9 AM</v>
      </c>
      <c r="H61" s="1">
        <f t="shared" si="0"/>
        <v>27.8</v>
      </c>
      <c r="I61" s="1">
        <v>536373</v>
      </c>
      <c r="J61" s="1">
        <v>82486</v>
      </c>
      <c r="K61" s="1" t="s">
        <v>68</v>
      </c>
      <c r="L61" s="1">
        <v>4</v>
      </c>
      <c r="M61" s="2">
        <v>40513.376388888886</v>
      </c>
      <c r="N61" s="1">
        <v>6.95</v>
      </c>
      <c r="O61" s="1">
        <v>17850</v>
      </c>
      <c r="P61" s="1" t="s">
        <v>10</v>
      </c>
      <c r="Q61" s="1"/>
    </row>
    <row r="62" spans="7:17" x14ac:dyDescent="0.25">
      <c r="G62" s="1" t="str">
        <f>TEXT(Table1[[#This Row],[InvoiceDate]],"H AM/PM")</f>
        <v>9 AM</v>
      </c>
      <c r="H62" s="1">
        <f t="shared" si="0"/>
        <v>12.600000000000001</v>
      </c>
      <c r="I62" s="1">
        <v>536373</v>
      </c>
      <c r="J62" s="1">
        <v>82482</v>
      </c>
      <c r="K62" s="1" t="s">
        <v>69</v>
      </c>
      <c r="L62" s="1">
        <v>6</v>
      </c>
      <c r="M62" s="2">
        <v>40513.376388888886</v>
      </c>
      <c r="N62" s="1">
        <v>2.1</v>
      </c>
      <c r="O62" s="1">
        <v>17850</v>
      </c>
      <c r="P62" s="1" t="s">
        <v>10</v>
      </c>
      <c r="Q62" s="1"/>
    </row>
    <row r="63" spans="7:17" x14ac:dyDescent="0.25">
      <c r="G63" s="1" t="str">
        <f>TEXT(Table1[[#This Row],[InvoiceDate]],"H AM/PM")</f>
        <v>9 AM</v>
      </c>
      <c r="H63" s="1">
        <f t="shared" si="0"/>
        <v>15.299999999999999</v>
      </c>
      <c r="I63" s="1">
        <v>536373</v>
      </c>
      <c r="J63" s="1" t="s">
        <v>70</v>
      </c>
      <c r="K63" s="1" t="s">
        <v>71</v>
      </c>
      <c r="L63" s="1">
        <v>6</v>
      </c>
      <c r="M63" s="2">
        <v>40513.376388888886</v>
      </c>
      <c r="N63" s="1">
        <v>2.5499999999999998</v>
      </c>
      <c r="O63" s="1">
        <v>17850</v>
      </c>
      <c r="P63" s="1" t="s">
        <v>10</v>
      </c>
      <c r="Q63" s="1"/>
    </row>
    <row r="64" spans="7:17" x14ac:dyDescent="0.25">
      <c r="G64" s="1" t="str">
        <f>TEXT(Table1[[#This Row],[InvoiceDate]],"H AM/PM")</f>
        <v>9 AM</v>
      </c>
      <c r="H64" s="1">
        <f t="shared" si="0"/>
        <v>20.34</v>
      </c>
      <c r="I64" s="1">
        <v>536373</v>
      </c>
      <c r="J64" s="1" t="s">
        <v>14</v>
      </c>
      <c r="K64" s="1" t="s">
        <v>15</v>
      </c>
      <c r="L64" s="1">
        <v>6</v>
      </c>
      <c r="M64" s="2">
        <v>40513.376388888886</v>
      </c>
      <c r="N64" s="1">
        <v>3.39</v>
      </c>
      <c r="O64" s="1">
        <v>17850</v>
      </c>
      <c r="P64" s="1" t="s">
        <v>10</v>
      </c>
      <c r="Q64" s="1"/>
    </row>
    <row r="65" spans="7:17" x14ac:dyDescent="0.25">
      <c r="G65" s="1" t="str">
        <f>TEXT(Table1[[#This Row],[InvoiceDate]],"H AM/PM")</f>
        <v>9 AM</v>
      </c>
      <c r="H65" s="1">
        <f t="shared" si="0"/>
        <v>20.34</v>
      </c>
      <c r="I65" s="1">
        <v>536373</v>
      </c>
      <c r="J65" s="1" t="s">
        <v>16</v>
      </c>
      <c r="K65" s="1" t="s">
        <v>17</v>
      </c>
      <c r="L65" s="1">
        <v>6</v>
      </c>
      <c r="M65" s="2">
        <v>40513.376388888886</v>
      </c>
      <c r="N65" s="1">
        <v>3.39</v>
      </c>
      <c r="O65" s="1">
        <v>17850</v>
      </c>
      <c r="P65" s="1" t="s">
        <v>10</v>
      </c>
      <c r="Q65" s="1"/>
    </row>
    <row r="66" spans="7:17" x14ac:dyDescent="0.25">
      <c r="G66" s="1" t="str">
        <f>TEXT(Table1[[#This Row],[InvoiceDate]],"H AM/PM")</f>
        <v>9 AM</v>
      </c>
      <c r="H66" s="1">
        <f t="shared" si="0"/>
        <v>15.3</v>
      </c>
      <c r="I66" s="1">
        <v>536373</v>
      </c>
      <c r="J66" s="1">
        <v>22752</v>
      </c>
      <c r="K66" s="1" t="s">
        <v>18</v>
      </c>
      <c r="L66" s="1">
        <v>2</v>
      </c>
      <c r="M66" s="2">
        <v>40513.376388888886</v>
      </c>
      <c r="N66" s="1">
        <v>7.65</v>
      </c>
      <c r="O66" s="1">
        <v>17850</v>
      </c>
      <c r="P66" s="1" t="s">
        <v>10</v>
      </c>
      <c r="Q66" s="1"/>
    </row>
    <row r="67" spans="7:17" x14ac:dyDescent="0.25">
      <c r="G67" s="1" t="str">
        <f>TEXT(Table1[[#This Row],[InvoiceDate]],"H AM/PM")</f>
        <v>9 AM</v>
      </c>
      <c r="H67" s="1">
        <f t="shared" ref="H67:H130" si="1">N67*L67</f>
        <v>25.5</v>
      </c>
      <c r="I67" s="1">
        <v>536373</v>
      </c>
      <c r="J67" s="1">
        <v>21730</v>
      </c>
      <c r="K67" s="1" t="s">
        <v>19</v>
      </c>
      <c r="L67" s="1">
        <v>6</v>
      </c>
      <c r="M67" s="2">
        <v>40513.376388888886</v>
      </c>
      <c r="N67" s="1">
        <v>4.25</v>
      </c>
      <c r="O67" s="1">
        <v>17850</v>
      </c>
      <c r="P67" s="1" t="s">
        <v>10</v>
      </c>
      <c r="Q67" s="1"/>
    </row>
    <row r="68" spans="7:17" x14ac:dyDescent="0.25">
      <c r="G68" s="1" t="str">
        <f>TEXT(Table1[[#This Row],[InvoiceDate]],"H AM/PM")</f>
        <v>9 AM</v>
      </c>
      <c r="H68" s="1">
        <f t="shared" si="1"/>
        <v>350.4</v>
      </c>
      <c r="I68" s="1">
        <v>536374</v>
      </c>
      <c r="J68" s="1">
        <v>21258</v>
      </c>
      <c r="K68" s="1" t="s">
        <v>72</v>
      </c>
      <c r="L68" s="1">
        <v>32</v>
      </c>
      <c r="M68" s="2">
        <v>40513.381249999999</v>
      </c>
      <c r="N68" s="1">
        <v>10.95</v>
      </c>
      <c r="O68" s="1">
        <v>15100</v>
      </c>
      <c r="P68" s="1" t="s">
        <v>10</v>
      </c>
      <c r="Q68" s="1"/>
    </row>
    <row r="69" spans="7:17" x14ac:dyDescent="0.25">
      <c r="G69" s="1" t="str">
        <f>TEXT(Table1[[#This Row],[InvoiceDate]],"H AM/PM")</f>
        <v>9 AM</v>
      </c>
      <c r="H69" s="1">
        <f t="shared" si="1"/>
        <v>15.299999999999999</v>
      </c>
      <c r="I69" s="1">
        <v>536375</v>
      </c>
      <c r="J69" s="1" t="s">
        <v>8</v>
      </c>
      <c r="K69" s="1" t="s">
        <v>9</v>
      </c>
      <c r="L69" s="1">
        <v>6</v>
      </c>
      <c r="M69" s="2">
        <v>40513.397222222222</v>
      </c>
      <c r="N69" s="1">
        <v>2.5499999999999998</v>
      </c>
      <c r="O69" s="1">
        <v>17850</v>
      </c>
      <c r="P69" s="1" t="s">
        <v>10</v>
      </c>
      <c r="Q69" s="1"/>
    </row>
    <row r="70" spans="7:17" x14ac:dyDescent="0.25">
      <c r="G70" s="1" t="str">
        <f>TEXT(Table1[[#This Row],[InvoiceDate]],"H AM/PM")</f>
        <v>9 AM</v>
      </c>
      <c r="H70" s="1">
        <f t="shared" si="1"/>
        <v>20.34</v>
      </c>
      <c r="I70" s="1">
        <v>536375</v>
      </c>
      <c r="J70" s="1">
        <v>71053</v>
      </c>
      <c r="K70" s="1" t="s">
        <v>11</v>
      </c>
      <c r="L70" s="1">
        <v>6</v>
      </c>
      <c r="M70" s="2">
        <v>40513.397222222222</v>
      </c>
      <c r="N70" s="1">
        <v>3.39</v>
      </c>
      <c r="O70" s="1">
        <v>17850</v>
      </c>
      <c r="P70" s="1" t="s">
        <v>10</v>
      </c>
      <c r="Q70" s="1"/>
    </row>
    <row r="71" spans="7:17" x14ac:dyDescent="0.25">
      <c r="G71" s="1" t="str">
        <f>TEXT(Table1[[#This Row],[InvoiceDate]],"H AM/PM")</f>
        <v>9 AM</v>
      </c>
      <c r="H71" s="1">
        <f t="shared" si="1"/>
        <v>22</v>
      </c>
      <c r="I71" s="1">
        <v>536375</v>
      </c>
      <c r="J71" s="1" t="s">
        <v>12</v>
      </c>
      <c r="K71" s="1" t="s">
        <v>13</v>
      </c>
      <c r="L71" s="1">
        <v>8</v>
      </c>
      <c r="M71" s="2">
        <v>40513.397222222222</v>
      </c>
      <c r="N71" s="1">
        <v>2.75</v>
      </c>
      <c r="O71" s="1">
        <v>17850</v>
      </c>
      <c r="P71" s="1" t="s">
        <v>10</v>
      </c>
      <c r="Q71" s="1"/>
    </row>
    <row r="72" spans="7:17" x14ac:dyDescent="0.25">
      <c r="G72" s="1" t="str">
        <f>TEXT(Table1[[#This Row],[InvoiceDate]],"H AM/PM")</f>
        <v>9 AM</v>
      </c>
      <c r="H72" s="1">
        <f t="shared" si="1"/>
        <v>29.700000000000003</v>
      </c>
      <c r="I72" s="1">
        <v>536375</v>
      </c>
      <c r="J72" s="1">
        <v>20679</v>
      </c>
      <c r="K72" s="1" t="s">
        <v>62</v>
      </c>
      <c r="L72" s="1">
        <v>6</v>
      </c>
      <c r="M72" s="2">
        <v>40513.397222222222</v>
      </c>
      <c r="N72" s="1">
        <v>4.95</v>
      </c>
      <c r="O72" s="1">
        <v>17850</v>
      </c>
      <c r="P72" s="1" t="s">
        <v>10</v>
      </c>
      <c r="Q72" s="1"/>
    </row>
    <row r="73" spans="7:17" x14ac:dyDescent="0.25">
      <c r="G73" s="1" t="str">
        <f>TEXT(Table1[[#This Row],[InvoiceDate]],"H AM/PM")</f>
        <v>9 AM</v>
      </c>
      <c r="H73" s="1">
        <f t="shared" si="1"/>
        <v>6.36</v>
      </c>
      <c r="I73" s="1">
        <v>536375</v>
      </c>
      <c r="J73" s="1">
        <v>37370</v>
      </c>
      <c r="K73" s="1" t="s">
        <v>63</v>
      </c>
      <c r="L73" s="1">
        <v>6</v>
      </c>
      <c r="M73" s="2">
        <v>40513.397222222222</v>
      </c>
      <c r="N73" s="1">
        <v>1.06</v>
      </c>
      <c r="O73" s="1">
        <v>17850</v>
      </c>
      <c r="P73" s="1" t="s">
        <v>10</v>
      </c>
      <c r="Q73" s="1"/>
    </row>
    <row r="74" spans="7:17" x14ac:dyDescent="0.25">
      <c r="G74" s="1" t="str">
        <f>TEXT(Table1[[#This Row],[InvoiceDate]],"H AM/PM")</f>
        <v>9 AM</v>
      </c>
      <c r="H74" s="1">
        <f t="shared" si="1"/>
        <v>6.36</v>
      </c>
      <c r="I74" s="1">
        <v>536375</v>
      </c>
      <c r="J74" s="1">
        <v>21871</v>
      </c>
      <c r="K74" s="1" t="s">
        <v>64</v>
      </c>
      <c r="L74" s="1">
        <v>6</v>
      </c>
      <c r="M74" s="2">
        <v>40513.397222222222</v>
      </c>
      <c r="N74" s="1">
        <v>1.06</v>
      </c>
      <c r="O74" s="1">
        <v>17850</v>
      </c>
      <c r="P74" s="1" t="s">
        <v>10</v>
      </c>
      <c r="Q74" s="1"/>
    </row>
    <row r="75" spans="7:17" x14ac:dyDescent="0.25">
      <c r="G75" s="1" t="str">
        <f>TEXT(Table1[[#This Row],[InvoiceDate]],"H AM/PM")</f>
        <v>9 AM</v>
      </c>
      <c r="H75" s="1">
        <f t="shared" si="1"/>
        <v>6.36</v>
      </c>
      <c r="I75" s="1">
        <v>536375</v>
      </c>
      <c r="J75" s="1">
        <v>21071</v>
      </c>
      <c r="K75" s="1" t="s">
        <v>65</v>
      </c>
      <c r="L75" s="1">
        <v>6</v>
      </c>
      <c r="M75" s="2">
        <v>40513.397222222222</v>
      </c>
      <c r="N75" s="1">
        <v>1.06</v>
      </c>
      <c r="O75" s="1">
        <v>17850</v>
      </c>
      <c r="P75" s="1" t="s">
        <v>10</v>
      </c>
      <c r="Q75" s="1"/>
    </row>
    <row r="76" spans="7:17" x14ac:dyDescent="0.25">
      <c r="G76" s="1" t="str">
        <f>TEXT(Table1[[#This Row],[InvoiceDate]],"H AM/PM")</f>
        <v>9 AM</v>
      </c>
      <c r="H76" s="1">
        <f t="shared" si="1"/>
        <v>6.36</v>
      </c>
      <c r="I76" s="1">
        <v>536375</v>
      </c>
      <c r="J76" s="1">
        <v>21068</v>
      </c>
      <c r="K76" s="1" t="s">
        <v>66</v>
      </c>
      <c r="L76" s="1">
        <v>6</v>
      </c>
      <c r="M76" s="2">
        <v>40513.397222222222</v>
      </c>
      <c r="N76" s="1">
        <v>1.06</v>
      </c>
      <c r="O76" s="1">
        <v>17850</v>
      </c>
      <c r="P76" s="1" t="s">
        <v>10</v>
      </c>
      <c r="Q76" s="1"/>
    </row>
    <row r="77" spans="7:17" x14ac:dyDescent="0.25">
      <c r="G77" s="1" t="str">
        <f>TEXT(Table1[[#This Row],[InvoiceDate]],"H AM/PM")</f>
        <v>9 AM</v>
      </c>
      <c r="H77" s="1">
        <f t="shared" si="1"/>
        <v>9.9</v>
      </c>
      <c r="I77" s="1">
        <v>536375</v>
      </c>
      <c r="J77" s="1">
        <v>82483</v>
      </c>
      <c r="K77" s="1" t="s">
        <v>67</v>
      </c>
      <c r="L77" s="1">
        <v>2</v>
      </c>
      <c r="M77" s="2">
        <v>40513.397222222222</v>
      </c>
      <c r="N77" s="1">
        <v>4.95</v>
      </c>
      <c r="O77" s="1">
        <v>17850</v>
      </c>
      <c r="P77" s="1" t="s">
        <v>10</v>
      </c>
      <c r="Q77" s="1"/>
    </row>
    <row r="78" spans="7:17" x14ac:dyDescent="0.25">
      <c r="G78" s="1" t="str">
        <f>TEXT(Table1[[#This Row],[InvoiceDate]],"H AM/PM")</f>
        <v>9 AM</v>
      </c>
      <c r="H78" s="1">
        <f t="shared" si="1"/>
        <v>27.8</v>
      </c>
      <c r="I78" s="1">
        <v>536375</v>
      </c>
      <c r="J78" s="1">
        <v>82486</v>
      </c>
      <c r="K78" s="1" t="s">
        <v>68</v>
      </c>
      <c r="L78" s="1">
        <v>4</v>
      </c>
      <c r="M78" s="2">
        <v>40513.397222222222</v>
      </c>
      <c r="N78" s="1">
        <v>6.95</v>
      </c>
      <c r="O78" s="1">
        <v>17850</v>
      </c>
      <c r="P78" s="1" t="s">
        <v>10</v>
      </c>
      <c r="Q78" s="1"/>
    </row>
    <row r="79" spans="7:17" x14ac:dyDescent="0.25">
      <c r="G79" s="1" t="str">
        <f>TEXT(Table1[[#This Row],[InvoiceDate]],"H AM/PM")</f>
        <v>9 AM</v>
      </c>
      <c r="H79" s="1">
        <f t="shared" si="1"/>
        <v>12.600000000000001</v>
      </c>
      <c r="I79" s="1">
        <v>536375</v>
      </c>
      <c r="J79" s="1">
        <v>82482</v>
      </c>
      <c r="K79" s="1" t="s">
        <v>69</v>
      </c>
      <c r="L79" s="1">
        <v>6</v>
      </c>
      <c r="M79" s="2">
        <v>40513.397222222222</v>
      </c>
      <c r="N79" s="1">
        <v>2.1</v>
      </c>
      <c r="O79" s="1">
        <v>17850</v>
      </c>
      <c r="P79" s="1" t="s">
        <v>10</v>
      </c>
      <c r="Q79" s="1"/>
    </row>
    <row r="80" spans="7:17" x14ac:dyDescent="0.25">
      <c r="G80" s="1" t="str">
        <f>TEXT(Table1[[#This Row],[InvoiceDate]],"H AM/PM")</f>
        <v>9 AM</v>
      </c>
      <c r="H80" s="1">
        <f t="shared" si="1"/>
        <v>15.299999999999999</v>
      </c>
      <c r="I80" s="1">
        <v>536375</v>
      </c>
      <c r="J80" s="1" t="s">
        <v>70</v>
      </c>
      <c r="K80" s="1" t="s">
        <v>71</v>
      </c>
      <c r="L80" s="1">
        <v>6</v>
      </c>
      <c r="M80" s="2">
        <v>40513.397222222222</v>
      </c>
      <c r="N80" s="1">
        <v>2.5499999999999998</v>
      </c>
      <c r="O80" s="1">
        <v>17850</v>
      </c>
      <c r="P80" s="1" t="s">
        <v>10</v>
      </c>
      <c r="Q80" s="1"/>
    </row>
    <row r="81" spans="7:17" x14ac:dyDescent="0.25">
      <c r="G81" s="1" t="str">
        <f>TEXT(Table1[[#This Row],[InvoiceDate]],"H AM/PM")</f>
        <v>9 AM</v>
      </c>
      <c r="H81" s="1">
        <f t="shared" si="1"/>
        <v>20.34</v>
      </c>
      <c r="I81" s="1">
        <v>536375</v>
      </c>
      <c r="J81" s="1" t="s">
        <v>14</v>
      </c>
      <c r="K81" s="1" t="s">
        <v>15</v>
      </c>
      <c r="L81" s="1">
        <v>6</v>
      </c>
      <c r="M81" s="2">
        <v>40513.397222222222</v>
      </c>
      <c r="N81" s="1">
        <v>3.39</v>
      </c>
      <c r="O81" s="1">
        <v>17850</v>
      </c>
      <c r="P81" s="1" t="s">
        <v>10</v>
      </c>
      <c r="Q81" s="1"/>
    </row>
    <row r="82" spans="7:17" x14ac:dyDescent="0.25">
      <c r="G82" s="1" t="str">
        <f>TEXT(Table1[[#This Row],[InvoiceDate]],"H AM/PM")</f>
        <v>9 AM</v>
      </c>
      <c r="H82" s="1">
        <f t="shared" si="1"/>
        <v>20.34</v>
      </c>
      <c r="I82" s="1">
        <v>536375</v>
      </c>
      <c r="J82" s="1" t="s">
        <v>16</v>
      </c>
      <c r="K82" s="1" t="s">
        <v>17</v>
      </c>
      <c r="L82" s="1">
        <v>6</v>
      </c>
      <c r="M82" s="2">
        <v>40513.397222222222</v>
      </c>
      <c r="N82" s="1">
        <v>3.39</v>
      </c>
      <c r="O82" s="1">
        <v>17850</v>
      </c>
      <c r="P82" s="1" t="s">
        <v>10</v>
      </c>
      <c r="Q82" s="1"/>
    </row>
    <row r="83" spans="7:17" x14ac:dyDescent="0.25">
      <c r="G83" s="1" t="str">
        <f>TEXT(Table1[[#This Row],[InvoiceDate]],"H AM/PM")</f>
        <v>9 AM</v>
      </c>
      <c r="H83" s="1">
        <f t="shared" si="1"/>
        <v>15.3</v>
      </c>
      <c r="I83" s="1">
        <v>536375</v>
      </c>
      <c r="J83" s="1">
        <v>22752</v>
      </c>
      <c r="K83" s="1" t="s">
        <v>18</v>
      </c>
      <c r="L83" s="1">
        <v>2</v>
      </c>
      <c r="M83" s="2">
        <v>40513.397222222222</v>
      </c>
      <c r="N83" s="1">
        <v>7.65</v>
      </c>
      <c r="O83" s="1">
        <v>17850</v>
      </c>
      <c r="P83" s="1" t="s">
        <v>10</v>
      </c>
      <c r="Q83" s="1"/>
    </row>
    <row r="84" spans="7:17" x14ac:dyDescent="0.25">
      <c r="G84" s="1" t="str">
        <f>TEXT(Table1[[#This Row],[InvoiceDate]],"H AM/PM")</f>
        <v>9 AM</v>
      </c>
      <c r="H84" s="1">
        <f t="shared" si="1"/>
        <v>25.5</v>
      </c>
      <c r="I84" s="1">
        <v>536375</v>
      </c>
      <c r="J84" s="1">
        <v>21730</v>
      </c>
      <c r="K84" s="1" t="s">
        <v>19</v>
      </c>
      <c r="L84" s="1">
        <v>6</v>
      </c>
      <c r="M84" s="2">
        <v>40513.397222222222</v>
      </c>
      <c r="N84" s="1">
        <v>4.25</v>
      </c>
      <c r="O84" s="1">
        <v>17850</v>
      </c>
      <c r="P84" s="1" t="s">
        <v>10</v>
      </c>
      <c r="Q84" s="1"/>
    </row>
    <row r="85" spans="7:17" x14ac:dyDescent="0.25">
      <c r="G85" s="1" t="str">
        <f>TEXT(Table1[[#This Row],[InvoiceDate]],"H AM/PM")</f>
        <v>9 AM</v>
      </c>
      <c r="H85" s="1">
        <f t="shared" si="1"/>
        <v>165.60000000000002</v>
      </c>
      <c r="I85" s="1">
        <v>536376</v>
      </c>
      <c r="J85" s="1">
        <v>22114</v>
      </c>
      <c r="K85" s="1" t="s">
        <v>73</v>
      </c>
      <c r="L85" s="1">
        <v>48</v>
      </c>
      <c r="M85" s="2">
        <v>40513.397222222222</v>
      </c>
      <c r="N85" s="1">
        <v>3.45</v>
      </c>
      <c r="O85" s="1">
        <v>15291</v>
      </c>
      <c r="P85" s="1" t="s">
        <v>10</v>
      </c>
      <c r="Q85" s="1"/>
    </row>
    <row r="86" spans="7:17" x14ac:dyDescent="0.25">
      <c r="G86" s="1" t="str">
        <f>TEXT(Table1[[#This Row],[InvoiceDate]],"H AM/PM")</f>
        <v>9 AM</v>
      </c>
      <c r="H86" s="1">
        <f t="shared" si="1"/>
        <v>163.19999999999999</v>
      </c>
      <c r="I86" s="1">
        <v>536376</v>
      </c>
      <c r="J86" s="1">
        <v>21733</v>
      </c>
      <c r="K86" s="1" t="s">
        <v>74</v>
      </c>
      <c r="L86" s="1">
        <v>64</v>
      </c>
      <c r="M86" s="2">
        <v>40513.397222222222</v>
      </c>
      <c r="N86" s="1">
        <v>2.5499999999999998</v>
      </c>
      <c r="O86" s="1">
        <v>15291</v>
      </c>
      <c r="P86" s="1" t="s">
        <v>10</v>
      </c>
      <c r="Q86" s="1"/>
    </row>
    <row r="87" spans="7:17" x14ac:dyDescent="0.25">
      <c r="G87" s="1" t="str">
        <f>TEXT(Table1[[#This Row],[InvoiceDate]],"H AM/PM")</f>
        <v>9 AM</v>
      </c>
      <c r="H87" s="1">
        <f t="shared" si="1"/>
        <v>11.100000000000001</v>
      </c>
      <c r="I87" s="1">
        <v>536377</v>
      </c>
      <c r="J87" s="1">
        <v>22632</v>
      </c>
      <c r="K87" s="1" t="s">
        <v>21</v>
      </c>
      <c r="L87" s="1">
        <v>6</v>
      </c>
      <c r="M87" s="2">
        <v>40513.398611111108</v>
      </c>
      <c r="N87" s="1">
        <v>1.85</v>
      </c>
      <c r="O87" s="1">
        <v>17850</v>
      </c>
      <c r="P87" s="1" t="s">
        <v>10</v>
      </c>
      <c r="Q87" s="1"/>
    </row>
    <row r="88" spans="7:17" x14ac:dyDescent="0.25">
      <c r="G88" s="1" t="str">
        <f>TEXT(Table1[[#This Row],[InvoiceDate]],"H AM/PM")</f>
        <v>9 AM</v>
      </c>
      <c r="H88" s="1">
        <f t="shared" si="1"/>
        <v>11.100000000000001</v>
      </c>
      <c r="I88" s="1">
        <v>536377</v>
      </c>
      <c r="J88" s="1">
        <v>22633</v>
      </c>
      <c r="K88" s="1" t="s">
        <v>20</v>
      </c>
      <c r="L88" s="1">
        <v>6</v>
      </c>
      <c r="M88" s="2">
        <v>40513.398611111108</v>
      </c>
      <c r="N88" s="1">
        <v>1.85</v>
      </c>
      <c r="O88" s="1">
        <v>17850</v>
      </c>
      <c r="P88" s="1" t="s">
        <v>10</v>
      </c>
      <c r="Q88" s="1"/>
    </row>
    <row r="89" spans="7:17" x14ac:dyDescent="0.25">
      <c r="G89" s="1" t="str">
        <f>TEXT(Table1[[#This Row],[InvoiceDate]],"H AM/PM")</f>
        <v>9 AM</v>
      </c>
      <c r="H89" s="1">
        <f t="shared" si="1"/>
        <v>19.5</v>
      </c>
      <c r="I89" s="1">
        <v>536378</v>
      </c>
      <c r="J89" s="1">
        <v>22386</v>
      </c>
      <c r="K89" s="1" t="s">
        <v>75</v>
      </c>
      <c r="L89" s="1">
        <v>10</v>
      </c>
      <c r="M89" s="2">
        <v>40513.400694444441</v>
      </c>
      <c r="N89" s="1">
        <v>1.95</v>
      </c>
      <c r="O89" s="1">
        <v>14688</v>
      </c>
      <c r="P89" s="1" t="s">
        <v>10</v>
      </c>
      <c r="Q89" s="1"/>
    </row>
    <row r="90" spans="7:17" x14ac:dyDescent="0.25">
      <c r="G90" s="1" t="str">
        <f>TEXT(Table1[[#This Row],[InvoiceDate]],"H AM/PM")</f>
        <v>9 AM</v>
      </c>
      <c r="H90" s="1">
        <f t="shared" si="1"/>
        <v>19.5</v>
      </c>
      <c r="I90" s="1">
        <v>536378</v>
      </c>
      <c r="J90" s="1" t="s">
        <v>76</v>
      </c>
      <c r="K90" s="1" t="s">
        <v>77</v>
      </c>
      <c r="L90" s="1">
        <v>10</v>
      </c>
      <c r="M90" s="2">
        <v>40513.400694444441</v>
      </c>
      <c r="N90" s="1">
        <v>1.95</v>
      </c>
      <c r="O90" s="1">
        <v>14688</v>
      </c>
      <c r="P90" s="1" t="s">
        <v>10</v>
      </c>
      <c r="Q90" s="1"/>
    </row>
    <row r="91" spans="7:17" x14ac:dyDescent="0.25">
      <c r="G91" s="1" t="str">
        <f>TEXT(Table1[[#This Row],[InvoiceDate]],"H AM/PM")</f>
        <v>9 AM</v>
      </c>
      <c r="H91" s="1">
        <f t="shared" si="1"/>
        <v>29.5</v>
      </c>
      <c r="I91" s="1">
        <v>536378</v>
      </c>
      <c r="J91" s="1">
        <v>21033</v>
      </c>
      <c r="K91" s="1" t="s">
        <v>78</v>
      </c>
      <c r="L91" s="1">
        <v>10</v>
      </c>
      <c r="M91" s="2">
        <v>40513.400694444441</v>
      </c>
      <c r="N91" s="1">
        <v>2.95</v>
      </c>
      <c r="O91" s="1">
        <v>14688</v>
      </c>
      <c r="P91" s="1" t="s">
        <v>10</v>
      </c>
      <c r="Q91" s="1"/>
    </row>
    <row r="92" spans="7:17" x14ac:dyDescent="0.25">
      <c r="G92" s="1" t="str">
        <f>TEXT(Table1[[#This Row],[InvoiceDate]],"H AM/PM")</f>
        <v>9 AM</v>
      </c>
      <c r="H92" s="1">
        <f t="shared" si="1"/>
        <v>8.5</v>
      </c>
      <c r="I92" s="1">
        <v>536378</v>
      </c>
      <c r="J92" s="1">
        <v>20723</v>
      </c>
      <c r="K92" s="1" t="s">
        <v>79</v>
      </c>
      <c r="L92" s="1">
        <v>10</v>
      </c>
      <c r="M92" s="2">
        <v>40513.400694444441</v>
      </c>
      <c r="N92" s="1">
        <v>0.85</v>
      </c>
      <c r="O92" s="1">
        <v>14688</v>
      </c>
      <c r="P92" s="1" t="s">
        <v>10</v>
      </c>
      <c r="Q92" s="1"/>
    </row>
    <row r="93" spans="7:17" x14ac:dyDescent="0.25">
      <c r="G93" s="1" t="str">
        <f>TEXT(Table1[[#This Row],[InvoiceDate]],"H AM/PM")</f>
        <v>9 AM</v>
      </c>
      <c r="H93" s="1">
        <f t="shared" si="1"/>
        <v>45</v>
      </c>
      <c r="I93" s="1">
        <v>536378</v>
      </c>
      <c r="J93" s="1" t="s">
        <v>80</v>
      </c>
      <c r="K93" s="1" t="s">
        <v>81</v>
      </c>
      <c r="L93" s="1">
        <v>12</v>
      </c>
      <c r="M93" s="2">
        <v>40513.400694444441</v>
      </c>
      <c r="N93" s="1">
        <v>3.75</v>
      </c>
      <c r="O93" s="1">
        <v>14688</v>
      </c>
      <c r="P93" s="1" t="s">
        <v>10</v>
      </c>
      <c r="Q93" s="1"/>
    </row>
    <row r="94" spans="7:17" x14ac:dyDescent="0.25">
      <c r="G94" s="1" t="str">
        <f>TEXT(Table1[[#This Row],[InvoiceDate]],"H AM/PM")</f>
        <v>9 AM</v>
      </c>
      <c r="H94" s="1">
        <f t="shared" si="1"/>
        <v>22.5</v>
      </c>
      <c r="I94" s="1">
        <v>536378</v>
      </c>
      <c r="J94" s="1" t="s">
        <v>82</v>
      </c>
      <c r="K94" s="1" t="s">
        <v>83</v>
      </c>
      <c r="L94" s="1">
        <v>6</v>
      </c>
      <c r="M94" s="2">
        <v>40513.400694444441</v>
      </c>
      <c r="N94" s="1">
        <v>3.75</v>
      </c>
      <c r="O94" s="1">
        <v>14688</v>
      </c>
      <c r="P94" s="1" t="s">
        <v>10</v>
      </c>
      <c r="Q94" s="1"/>
    </row>
    <row r="95" spans="7:17" x14ac:dyDescent="0.25">
      <c r="G95" s="1" t="str">
        <f>TEXT(Table1[[#This Row],[InvoiceDate]],"H AM/PM")</f>
        <v>9 AM</v>
      </c>
      <c r="H95" s="1">
        <f t="shared" si="1"/>
        <v>10.199999999999999</v>
      </c>
      <c r="I95" s="1">
        <v>536378</v>
      </c>
      <c r="J95" s="1">
        <v>21094</v>
      </c>
      <c r="K95" s="1" t="s">
        <v>84</v>
      </c>
      <c r="L95" s="1">
        <v>12</v>
      </c>
      <c r="M95" s="2">
        <v>40513.400694444441</v>
      </c>
      <c r="N95" s="1">
        <v>0.85</v>
      </c>
      <c r="O95" s="1">
        <v>14688</v>
      </c>
      <c r="P95" s="1" t="s">
        <v>10</v>
      </c>
      <c r="Q95" s="1"/>
    </row>
    <row r="96" spans="7:17" x14ac:dyDescent="0.25">
      <c r="G96" s="1" t="str">
        <f>TEXT(Table1[[#This Row],[InvoiceDate]],"H AM/PM")</f>
        <v>9 AM</v>
      </c>
      <c r="H96" s="1">
        <f t="shared" si="1"/>
        <v>16.5</v>
      </c>
      <c r="I96" s="1">
        <v>536378</v>
      </c>
      <c r="J96" s="1">
        <v>20725</v>
      </c>
      <c r="K96" s="1" t="s">
        <v>85</v>
      </c>
      <c r="L96" s="1">
        <v>10</v>
      </c>
      <c r="M96" s="2">
        <v>40513.400694444441</v>
      </c>
      <c r="N96" s="1">
        <v>1.65</v>
      </c>
      <c r="O96" s="1">
        <v>14688</v>
      </c>
      <c r="P96" s="1" t="s">
        <v>10</v>
      </c>
      <c r="Q96" s="1"/>
    </row>
    <row r="97" spans="7:17" x14ac:dyDescent="0.25">
      <c r="G97" s="1" t="str">
        <f>TEXT(Table1[[#This Row],[InvoiceDate]],"H AM/PM")</f>
        <v>9 AM</v>
      </c>
      <c r="H97" s="1">
        <f t="shared" si="1"/>
        <v>15.299999999999999</v>
      </c>
      <c r="I97" s="1">
        <v>536378</v>
      </c>
      <c r="J97" s="1">
        <v>21559</v>
      </c>
      <c r="K97" s="1" t="s">
        <v>86</v>
      </c>
      <c r="L97" s="1">
        <v>6</v>
      </c>
      <c r="M97" s="2">
        <v>40513.400694444441</v>
      </c>
      <c r="N97" s="1">
        <v>2.5499999999999998</v>
      </c>
      <c r="O97" s="1">
        <v>14688</v>
      </c>
      <c r="P97" s="1" t="s">
        <v>10</v>
      </c>
      <c r="Q97" s="1"/>
    </row>
    <row r="98" spans="7:17" x14ac:dyDescent="0.25">
      <c r="G98" s="1" t="str">
        <f>TEXT(Table1[[#This Row],[InvoiceDate]],"H AM/PM")</f>
        <v>9 AM</v>
      </c>
      <c r="H98" s="1">
        <f t="shared" si="1"/>
        <v>15.299999999999999</v>
      </c>
      <c r="I98" s="1">
        <v>536378</v>
      </c>
      <c r="J98" s="1">
        <v>22352</v>
      </c>
      <c r="K98" s="1" t="s">
        <v>87</v>
      </c>
      <c r="L98" s="1">
        <v>6</v>
      </c>
      <c r="M98" s="2">
        <v>40513.400694444441</v>
      </c>
      <c r="N98" s="1">
        <v>2.5499999999999998</v>
      </c>
      <c r="O98" s="1">
        <v>14688</v>
      </c>
      <c r="P98" s="1" t="s">
        <v>10</v>
      </c>
      <c r="Q98" s="1"/>
    </row>
    <row r="99" spans="7:17" x14ac:dyDescent="0.25">
      <c r="G99" s="1" t="str">
        <f>TEXT(Table1[[#This Row],[InvoiceDate]],"H AM/PM")</f>
        <v>9 AM</v>
      </c>
      <c r="H99" s="1">
        <f t="shared" si="1"/>
        <v>50.4</v>
      </c>
      <c r="I99" s="1">
        <v>536378</v>
      </c>
      <c r="J99" s="1">
        <v>21212</v>
      </c>
      <c r="K99" s="1" t="s">
        <v>88</v>
      </c>
      <c r="L99" s="1">
        <v>120</v>
      </c>
      <c r="M99" s="2">
        <v>40513.400694444441</v>
      </c>
      <c r="N99" s="1">
        <v>0.42</v>
      </c>
      <c r="O99" s="1">
        <v>14688</v>
      </c>
      <c r="P99" s="1" t="s">
        <v>10</v>
      </c>
      <c r="Q99" s="1"/>
    </row>
    <row r="100" spans="7:17" x14ac:dyDescent="0.25">
      <c r="G100" s="1" t="str">
        <f>TEXT(Table1[[#This Row],[InvoiceDate]],"H AM/PM")</f>
        <v>9 AM</v>
      </c>
      <c r="H100" s="1">
        <f t="shared" si="1"/>
        <v>13.200000000000001</v>
      </c>
      <c r="I100" s="1">
        <v>536378</v>
      </c>
      <c r="J100" s="1">
        <v>21975</v>
      </c>
      <c r="K100" s="1" t="s">
        <v>89</v>
      </c>
      <c r="L100" s="1">
        <v>24</v>
      </c>
      <c r="M100" s="2">
        <v>40513.400694444441</v>
      </c>
      <c r="N100" s="1">
        <v>0.55000000000000004</v>
      </c>
      <c r="O100" s="1">
        <v>14688</v>
      </c>
      <c r="P100" s="1" t="s">
        <v>10</v>
      </c>
      <c r="Q100" s="1"/>
    </row>
    <row r="101" spans="7:17" x14ac:dyDescent="0.25">
      <c r="G101" s="1" t="str">
        <f>TEXT(Table1[[#This Row],[InvoiceDate]],"H AM/PM")</f>
        <v>9 AM</v>
      </c>
      <c r="H101" s="1">
        <f t="shared" si="1"/>
        <v>13.200000000000001</v>
      </c>
      <c r="I101" s="1">
        <v>536378</v>
      </c>
      <c r="J101" s="1">
        <v>21977</v>
      </c>
      <c r="K101" s="1" t="s">
        <v>90</v>
      </c>
      <c r="L101" s="1">
        <v>24</v>
      </c>
      <c r="M101" s="2">
        <v>40513.400694444441</v>
      </c>
      <c r="N101" s="1">
        <v>0.55000000000000004</v>
      </c>
      <c r="O101" s="1">
        <v>14688</v>
      </c>
      <c r="P101" s="1" t="s">
        <v>10</v>
      </c>
      <c r="Q101" s="1"/>
    </row>
    <row r="102" spans="7:17" x14ac:dyDescent="0.25">
      <c r="G102" s="1" t="str">
        <f>TEXT(Table1[[#This Row],[InvoiceDate]],"H AM/PM")</f>
        <v>9 AM</v>
      </c>
      <c r="H102" s="1">
        <f t="shared" si="1"/>
        <v>13.200000000000001</v>
      </c>
      <c r="I102" s="1">
        <v>536378</v>
      </c>
      <c r="J102" s="1">
        <v>84991</v>
      </c>
      <c r="K102" s="1" t="s">
        <v>91</v>
      </c>
      <c r="L102" s="1">
        <v>24</v>
      </c>
      <c r="M102" s="2">
        <v>40513.400694444441</v>
      </c>
      <c r="N102" s="1">
        <v>0.55000000000000004</v>
      </c>
      <c r="O102" s="1">
        <v>14688</v>
      </c>
      <c r="P102" s="1" t="s">
        <v>10</v>
      </c>
      <c r="Q102" s="1"/>
    </row>
    <row r="103" spans="7:17" x14ac:dyDescent="0.25">
      <c r="G103" s="1" t="str">
        <f>TEXT(Table1[[#This Row],[InvoiceDate]],"H AM/PM")</f>
        <v>9 AM</v>
      </c>
      <c r="H103" s="1">
        <f t="shared" si="1"/>
        <v>17.700000000000003</v>
      </c>
      <c r="I103" s="1">
        <v>536378</v>
      </c>
      <c r="J103" s="1" t="s">
        <v>92</v>
      </c>
      <c r="K103" s="1" t="s">
        <v>93</v>
      </c>
      <c r="L103" s="1">
        <v>6</v>
      </c>
      <c r="M103" s="2">
        <v>40513.400694444441</v>
      </c>
      <c r="N103" s="1">
        <v>2.95</v>
      </c>
      <c r="O103" s="1">
        <v>14688</v>
      </c>
      <c r="P103" s="1" t="s">
        <v>10</v>
      </c>
      <c r="Q103" s="1"/>
    </row>
    <row r="104" spans="7:17" x14ac:dyDescent="0.25">
      <c r="G104" s="1" t="str">
        <f>TEXT(Table1[[#This Row],[InvoiceDate]],"H AM/PM")</f>
        <v>9 AM</v>
      </c>
      <c r="H104" s="1">
        <f t="shared" si="1"/>
        <v>60</v>
      </c>
      <c r="I104" s="1">
        <v>536378</v>
      </c>
      <c r="J104" s="1" t="s">
        <v>94</v>
      </c>
      <c r="K104" s="1" t="s">
        <v>95</v>
      </c>
      <c r="L104" s="1">
        <v>48</v>
      </c>
      <c r="M104" s="2">
        <v>40513.400694444441</v>
      </c>
      <c r="N104" s="1">
        <v>1.25</v>
      </c>
      <c r="O104" s="1">
        <v>14688</v>
      </c>
      <c r="P104" s="1" t="s">
        <v>10</v>
      </c>
      <c r="Q104" s="1"/>
    </row>
    <row r="105" spans="7:17" x14ac:dyDescent="0.25">
      <c r="G105" s="1" t="str">
        <f>TEXT(Table1[[#This Row],[InvoiceDate]],"H AM/PM")</f>
        <v>9 AM</v>
      </c>
      <c r="H105" s="1">
        <f t="shared" si="1"/>
        <v>36.480000000000004</v>
      </c>
      <c r="I105" s="1">
        <v>536378</v>
      </c>
      <c r="J105" s="1" t="s">
        <v>96</v>
      </c>
      <c r="K105" s="1" t="s">
        <v>97</v>
      </c>
      <c r="L105" s="1">
        <v>96</v>
      </c>
      <c r="M105" s="2">
        <v>40513.400694444441</v>
      </c>
      <c r="N105" s="1">
        <v>0.38</v>
      </c>
      <c r="O105" s="1">
        <v>14688</v>
      </c>
      <c r="P105" s="1" t="s">
        <v>10</v>
      </c>
      <c r="Q105" s="1"/>
    </row>
    <row r="106" spans="7:17" x14ac:dyDescent="0.25">
      <c r="G106" s="1" t="str">
        <f>TEXT(Table1[[#This Row],[InvoiceDate]],"H AM/PM")</f>
        <v>9 AM</v>
      </c>
      <c r="H106" s="1">
        <f t="shared" si="1"/>
        <v>19.5</v>
      </c>
      <c r="I106" s="1">
        <v>536378</v>
      </c>
      <c r="J106" s="1">
        <v>21931</v>
      </c>
      <c r="K106" s="1" t="s">
        <v>98</v>
      </c>
      <c r="L106" s="1">
        <v>10</v>
      </c>
      <c r="M106" s="2">
        <v>40513.400694444441</v>
      </c>
      <c r="N106" s="1">
        <v>1.95</v>
      </c>
      <c r="O106" s="1">
        <v>14688</v>
      </c>
      <c r="P106" s="1" t="s">
        <v>10</v>
      </c>
      <c r="Q106" s="1"/>
    </row>
    <row r="107" spans="7:17" x14ac:dyDescent="0.25">
      <c r="G107" s="1" t="str">
        <f>TEXT(Table1[[#This Row],[InvoiceDate]],"H AM/PM")</f>
        <v>9 AM</v>
      </c>
      <c r="H107" s="1">
        <f t="shared" si="1"/>
        <v>19.5</v>
      </c>
      <c r="I107" s="1">
        <v>536378</v>
      </c>
      <c r="J107" s="1">
        <v>21929</v>
      </c>
      <c r="K107" s="1" t="s">
        <v>99</v>
      </c>
      <c r="L107" s="1">
        <v>10</v>
      </c>
      <c r="M107" s="2">
        <v>40513.400694444441</v>
      </c>
      <c r="N107" s="1">
        <v>1.95</v>
      </c>
      <c r="O107" s="1">
        <v>14688</v>
      </c>
      <c r="P107" s="1" t="s">
        <v>10</v>
      </c>
      <c r="Q107" s="1"/>
    </row>
    <row r="108" spans="7:17" x14ac:dyDescent="0.25">
      <c r="G108" s="1" t="str">
        <f>TEXT(Table1[[#This Row],[InvoiceDate]],"H AM/PM")</f>
        <v>9 AM</v>
      </c>
      <c r="H108" s="1">
        <f t="shared" si="1"/>
        <v>34.799999999999997</v>
      </c>
      <c r="I108" s="1">
        <v>536380</v>
      </c>
      <c r="J108" s="1">
        <v>22961</v>
      </c>
      <c r="K108" s="1" t="s">
        <v>100</v>
      </c>
      <c r="L108" s="1">
        <v>24</v>
      </c>
      <c r="M108" s="2">
        <v>40513.40347222222</v>
      </c>
      <c r="N108" s="1">
        <v>1.45</v>
      </c>
      <c r="O108" s="1">
        <v>17809</v>
      </c>
      <c r="P108" s="1" t="s">
        <v>10</v>
      </c>
      <c r="Q108" s="1"/>
    </row>
    <row r="109" spans="7:17" x14ac:dyDescent="0.25">
      <c r="G109" s="1" t="str">
        <f>TEXT(Table1[[#This Row],[InvoiceDate]],"H AM/PM")</f>
        <v>9 AM</v>
      </c>
      <c r="H109" s="1">
        <f t="shared" si="1"/>
        <v>97.75</v>
      </c>
      <c r="I109" s="1">
        <v>536381</v>
      </c>
      <c r="J109" s="1">
        <v>22139</v>
      </c>
      <c r="K109" s="1" t="s">
        <v>101</v>
      </c>
      <c r="L109" s="1">
        <v>23</v>
      </c>
      <c r="M109" s="2">
        <v>40513.40347222222</v>
      </c>
      <c r="N109" s="1">
        <v>4.25</v>
      </c>
      <c r="O109" s="1">
        <v>15311</v>
      </c>
      <c r="P109" s="1" t="s">
        <v>10</v>
      </c>
      <c r="Q109" s="1"/>
    </row>
    <row r="110" spans="7:17" x14ac:dyDescent="0.25">
      <c r="G110" s="1" t="str">
        <f>TEXT(Table1[[#This Row],[InvoiceDate]],"H AM/PM")</f>
        <v>9 AM</v>
      </c>
      <c r="H110" s="1">
        <f t="shared" si="1"/>
        <v>24.75</v>
      </c>
      <c r="I110" s="1">
        <v>536381</v>
      </c>
      <c r="J110" s="1">
        <v>84854</v>
      </c>
      <c r="K110" s="1" t="s">
        <v>102</v>
      </c>
      <c r="L110" s="1">
        <v>5</v>
      </c>
      <c r="M110" s="2">
        <v>40513.40347222222</v>
      </c>
      <c r="N110" s="1">
        <v>4.95</v>
      </c>
      <c r="O110" s="1">
        <v>15311</v>
      </c>
      <c r="P110" s="1" t="s">
        <v>10</v>
      </c>
      <c r="Q110" s="1"/>
    </row>
    <row r="111" spans="7:17" x14ac:dyDescent="0.25">
      <c r="G111" s="1" t="str">
        <f>TEXT(Table1[[#This Row],[InvoiceDate]],"H AM/PM")</f>
        <v>9 AM</v>
      </c>
      <c r="H111" s="1">
        <f t="shared" si="1"/>
        <v>19.5</v>
      </c>
      <c r="I111" s="1">
        <v>536381</v>
      </c>
      <c r="J111" s="1">
        <v>22411</v>
      </c>
      <c r="K111" s="1" t="s">
        <v>103</v>
      </c>
      <c r="L111" s="1">
        <v>10</v>
      </c>
      <c r="M111" s="2">
        <v>40513.40347222222</v>
      </c>
      <c r="N111" s="1">
        <v>1.95</v>
      </c>
      <c r="O111" s="1">
        <v>15311</v>
      </c>
      <c r="P111" s="1" t="s">
        <v>10</v>
      </c>
      <c r="Q111" s="1"/>
    </row>
    <row r="112" spans="7:17" x14ac:dyDescent="0.25">
      <c r="G112" s="1" t="str">
        <f>TEXT(Table1[[#This Row],[InvoiceDate]],"H AM/PM")</f>
        <v>9 AM</v>
      </c>
      <c r="H112" s="1">
        <f t="shared" si="1"/>
        <v>4.2</v>
      </c>
      <c r="I112" s="1">
        <v>536381</v>
      </c>
      <c r="J112" s="1">
        <v>82567</v>
      </c>
      <c r="K112" s="1" t="s">
        <v>104</v>
      </c>
      <c r="L112" s="1">
        <v>2</v>
      </c>
      <c r="M112" s="2">
        <v>40513.40347222222</v>
      </c>
      <c r="N112" s="1">
        <v>2.1</v>
      </c>
      <c r="O112" s="1">
        <v>15311</v>
      </c>
      <c r="P112" s="1" t="s">
        <v>10</v>
      </c>
      <c r="Q112" s="1"/>
    </row>
    <row r="113" spans="7:17" x14ac:dyDescent="0.25">
      <c r="G113" s="1" t="str">
        <f>TEXT(Table1[[#This Row],[InvoiceDate]],"H AM/PM")</f>
        <v>9 AM</v>
      </c>
      <c r="H113" s="1">
        <f t="shared" si="1"/>
        <v>7.5</v>
      </c>
      <c r="I113" s="1">
        <v>536381</v>
      </c>
      <c r="J113" s="1">
        <v>21672</v>
      </c>
      <c r="K113" s="1" t="s">
        <v>105</v>
      </c>
      <c r="L113" s="1">
        <v>6</v>
      </c>
      <c r="M113" s="2">
        <v>40513.40347222222</v>
      </c>
      <c r="N113" s="1">
        <v>1.25</v>
      </c>
      <c r="O113" s="1">
        <v>15311</v>
      </c>
      <c r="P113" s="1" t="s">
        <v>10</v>
      </c>
      <c r="Q113" s="1"/>
    </row>
    <row r="114" spans="7:17" x14ac:dyDescent="0.25">
      <c r="G114" s="1" t="str">
        <f>TEXT(Table1[[#This Row],[InvoiceDate]],"H AM/PM")</f>
        <v>9 AM</v>
      </c>
      <c r="H114" s="1">
        <f t="shared" si="1"/>
        <v>30</v>
      </c>
      <c r="I114" s="1">
        <v>536381</v>
      </c>
      <c r="J114" s="1">
        <v>22774</v>
      </c>
      <c r="K114" s="1" t="s">
        <v>106</v>
      </c>
      <c r="L114" s="1">
        <v>24</v>
      </c>
      <c r="M114" s="2">
        <v>40513.40347222222</v>
      </c>
      <c r="N114" s="1">
        <v>1.25</v>
      </c>
      <c r="O114" s="1">
        <v>15311</v>
      </c>
      <c r="P114" s="1" t="s">
        <v>10</v>
      </c>
      <c r="Q114" s="1"/>
    </row>
    <row r="115" spans="7:17" x14ac:dyDescent="0.25">
      <c r="G115" s="1" t="str">
        <f>TEXT(Table1[[#This Row],[InvoiceDate]],"H AM/PM")</f>
        <v>9 AM</v>
      </c>
      <c r="H115" s="1">
        <f t="shared" si="1"/>
        <v>30</v>
      </c>
      <c r="I115" s="1">
        <v>536381</v>
      </c>
      <c r="J115" s="1">
        <v>22771</v>
      </c>
      <c r="K115" s="1" t="s">
        <v>107</v>
      </c>
      <c r="L115" s="1">
        <v>24</v>
      </c>
      <c r="M115" s="2">
        <v>40513.40347222222</v>
      </c>
      <c r="N115" s="1">
        <v>1.25</v>
      </c>
      <c r="O115" s="1">
        <v>15311</v>
      </c>
      <c r="P115" s="1" t="s">
        <v>10</v>
      </c>
      <c r="Q115" s="1"/>
    </row>
    <row r="116" spans="7:17" x14ac:dyDescent="0.25">
      <c r="G116" s="1" t="str">
        <f>TEXT(Table1[[#This Row],[InvoiceDate]],"H AM/PM")</f>
        <v>9 AM</v>
      </c>
      <c r="H116" s="1">
        <f t="shared" si="1"/>
        <v>1.25</v>
      </c>
      <c r="I116" s="1">
        <v>536381</v>
      </c>
      <c r="J116" s="1">
        <v>71270</v>
      </c>
      <c r="K116" s="1" t="s">
        <v>108</v>
      </c>
      <c r="L116" s="1">
        <v>1</v>
      </c>
      <c r="M116" s="2">
        <v>40513.40347222222</v>
      </c>
      <c r="N116" s="1">
        <v>1.25</v>
      </c>
      <c r="O116" s="1">
        <v>15311</v>
      </c>
      <c r="P116" s="1" t="s">
        <v>10</v>
      </c>
      <c r="Q116" s="1"/>
    </row>
    <row r="117" spans="7:17" x14ac:dyDescent="0.25">
      <c r="G117" s="1" t="str">
        <f>TEXT(Table1[[#This Row],[InvoiceDate]],"H AM/PM")</f>
        <v>9 AM</v>
      </c>
      <c r="H117" s="1">
        <f t="shared" si="1"/>
        <v>0.85</v>
      </c>
      <c r="I117" s="1">
        <v>536381</v>
      </c>
      <c r="J117" s="1">
        <v>22262</v>
      </c>
      <c r="K117" s="1" t="s">
        <v>109</v>
      </c>
      <c r="L117" s="1">
        <v>1</v>
      </c>
      <c r="M117" s="2">
        <v>40513.40347222222</v>
      </c>
      <c r="N117" s="1">
        <v>0.85</v>
      </c>
      <c r="O117" s="1">
        <v>15311</v>
      </c>
      <c r="P117" s="1" t="s">
        <v>10</v>
      </c>
      <c r="Q117" s="1"/>
    </row>
    <row r="118" spans="7:17" x14ac:dyDescent="0.25">
      <c r="G118" s="1" t="str">
        <f>TEXT(Table1[[#This Row],[InvoiceDate]],"H AM/PM")</f>
        <v>9 AM</v>
      </c>
      <c r="H118" s="1">
        <f t="shared" si="1"/>
        <v>2.5499999999999998</v>
      </c>
      <c r="I118" s="1">
        <v>536381</v>
      </c>
      <c r="J118" s="1">
        <v>22637</v>
      </c>
      <c r="K118" s="1" t="s">
        <v>110</v>
      </c>
      <c r="L118" s="1">
        <v>1</v>
      </c>
      <c r="M118" s="2">
        <v>40513.40347222222</v>
      </c>
      <c r="N118" s="1">
        <v>2.5499999999999998</v>
      </c>
      <c r="O118" s="1">
        <v>15311</v>
      </c>
      <c r="P118" s="1" t="s">
        <v>10</v>
      </c>
      <c r="Q118" s="1"/>
    </row>
    <row r="119" spans="7:17" x14ac:dyDescent="0.25">
      <c r="G119" s="1" t="str">
        <f>TEXT(Table1[[#This Row],[InvoiceDate]],"H AM/PM")</f>
        <v>9 AM</v>
      </c>
      <c r="H119" s="1">
        <f t="shared" si="1"/>
        <v>16.5</v>
      </c>
      <c r="I119" s="1">
        <v>536381</v>
      </c>
      <c r="J119" s="1">
        <v>21934</v>
      </c>
      <c r="K119" s="1" t="s">
        <v>111</v>
      </c>
      <c r="L119" s="1">
        <v>10</v>
      </c>
      <c r="M119" s="2">
        <v>40513.40347222222</v>
      </c>
      <c r="N119" s="1">
        <v>1.65</v>
      </c>
      <c r="O119" s="1">
        <v>15311</v>
      </c>
      <c r="P119" s="1" t="s">
        <v>10</v>
      </c>
      <c r="Q119" s="1"/>
    </row>
    <row r="120" spans="7:17" x14ac:dyDescent="0.25">
      <c r="G120" s="1" t="str">
        <f>TEXT(Table1[[#This Row],[InvoiceDate]],"H AM/PM")</f>
        <v>9 AM</v>
      </c>
      <c r="H120" s="1">
        <f t="shared" si="1"/>
        <v>5.07</v>
      </c>
      <c r="I120" s="1">
        <v>536381</v>
      </c>
      <c r="J120" s="1">
        <v>21169</v>
      </c>
      <c r="K120" s="1" t="s">
        <v>112</v>
      </c>
      <c r="L120" s="1">
        <v>3</v>
      </c>
      <c r="M120" s="2">
        <v>40513.40347222222</v>
      </c>
      <c r="N120" s="1">
        <v>1.69</v>
      </c>
      <c r="O120" s="1">
        <v>15311</v>
      </c>
      <c r="P120" s="1" t="s">
        <v>10</v>
      </c>
      <c r="Q120" s="1"/>
    </row>
    <row r="121" spans="7:17" x14ac:dyDescent="0.25">
      <c r="G121" s="1" t="str">
        <f>TEXT(Table1[[#This Row],[InvoiceDate]],"H AM/PM")</f>
        <v>9 AM</v>
      </c>
      <c r="H121" s="1">
        <f t="shared" si="1"/>
        <v>1.95</v>
      </c>
      <c r="I121" s="1">
        <v>536381</v>
      </c>
      <c r="J121" s="1">
        <v>21166</v>
      </c>
      <c r="K121" s="1" t="s">
        <v>113</v>
      </c>
      <c r="L121" s="1">
        <v>1</v>
      </c>
      <c r="M121" s="2">
        <v>40513.40347222222</v>
      </c>
      <c r="N121" s="1">
        <v>1.95</v>
      </c>
      <c r="O121" s="1">
        <v>15311</v>
      </c>
      <c r="P121" s="1" t="s">
        <v>10</v>
      </c>
      <c r="Q121" s="1"/>
    </row>
    <row r="122" spans="7:17" x14ac:dyDescent="0.25">
      <c r="G122" s="1" t="str">
        <f>TEXT(Table1[[#This Row],[InvoiceDate]],"H AM/PM")</f>
        <v>9 AM</v>
      </c>
      <c r="H122" s="1">
        <f t="shared" si="1"/>
        <v>4.2</v>
      </c>
      <c r="I122" s="1">
        <v>536381</v>
      </c>
      <c r="J122" s="1">
        <v>21175</v>
      </c>
      <c r="K122" s="1" t="s">
        <v>114</v>
      </c>
      <c r="L122" s="1">
        <v>2</v>
      </c>
      <c r="M122" s="2">
        <v>40513.40347222222</v>
      </c>
      <c r="N122" s="1">
        <v>2.1</v>
      </c>
      <c r="O122" s="1">
        <v>15311</v>
      </c>
      <c r="P122" s="1" t="s">
        <v>10</v>
      </c>
      <c r="Q122" s="1"/>
    </row>
    <row r="123" spans="7:17" x14ac:dyDescent="0.25">
      <c r="G123" s="1" t="str">
        <f>TEXT(Table1[[#This Row],[InvoiceDate]],"H AM/PM")</f>
        <v>9 AM</v>
      </c>
      <c r="H123" s="1">
        <f t="shared" si="1"/>
        <v>2.95</v>
      </c>
      <c r="I123" s="1">
        <v>536381</v>
      </c>
      <c r="J123" s="1" t="s">
        <v>115</v>
      </c>
      <c r="K123" s="1" t="s">
        <v>116</v>
      </c>
      <c r="L123" s="1">
        <v>1</v>
      </c>
      <c r="M123" s="2">
        <v>40513.40347222222</v>
      </c>
      <c r="N123" s="1">
        <v>2.95</v>
      </c>
      <c r="O123" s="1">
        <v>15311</v>
      </c>
      <c r="P123" s="1" t="s">
        <v>10</v>
      </c>
      <c r="Q123" s="1"/>
    </row>
    <row r="124" spans="7:17" x14ac:dyDescent="0.25">
      <c r="G124" s="1" t="str">
        <f>TEXT(Table1[[#This Row],[InvoiceDate]],"H AM/PM")</f>
        <v>9 AM</v>
      </c>
      <c r="H124" s="1">
        <f t="shared" si="1"/>
        <v>2.95</v>
      </c>
      <c r="I124" s="1">
        <v>536381</v>
      </c>
      <c r="J124" s="1" t="s">
        <v>117</v>
      </c>
      <c r="K124" s="1" t="s">
        <v>118</v>
      </c>
      <c r="L124" s="1">
        <v>1</v>
      </c>
      <c r="M124" s="2">
        <v>40513.40347222222</v>
      </c>
      <c r="N124" s="1">
        <v>2.95</v>
      </c>
      <c r="O124" s="1">
        <v>15311</v>
      </c>
      <c r="P124" s="1" t="s">
        <v>10</v>
      </c>
      <c r="Q124" s="1"/>
    </row>
    <row r="125" spans="7:17" x14ac:dyDescent="0.25">
      <c r="G125" s="1" t="str">
        <f>TEXT(Table1[[#This Row],[InvoiceDate]],"H AM/PM")</f>
        <v>9 AM</v>
      </c>
      <c r="H125" s="1">
        <f t="shared" si="1"/>
        <v>11.8</v>
      </c>
      <c r="I125" s="1">
        <v>536381</v>
      </c>
      <c r="J125" s="1">
        <v>22086</v>
      </c>
      <c r="K125" s="1" t="s">
        <v>61</v>
      </c>
      <c r="L125" s="1">
        <v>4</v>
      </c>
      <c r="M125" s="2">
        <v>40513.40347222222</v>
      </c>
      <c r="N125" s="1">
        <v>2.95</v>
      </c>
      <c r="O125" s="1">
        <v>15311</v>
      </c>
      <c r="P125" s="1" t="s">
        <v>10</v>
      </c>
      <c r="Q125" s="1"/>
    </row>
    <row r="126" spans="7:17" x14ac:dyDescent="0.25">
      <c r="G126" s="1" t="str">
        <f>TEXT(Table1[[#This Row],[InvoiceDate]],"H AM/PM")</f>
        <v>9 AM</v>
      </c>
      <c r="H126" s="1">
        <f t="shared" si="1"/>
        <v>2.95</v>
      </c>
      <c r="I126" s="1">
        <v>536381</v>
      </c>
      <c r="J126" s="1">
        <v>22083</v>
      </c>
      <c r="K126" s="1" t="s">
        <v>119</v>
      </c>
      <c r="L126" s="1">
        <v>1</v>
      </c>
      <c r="M126" s="2">
        <v>40513.40347222222</v>
      </c>
      <c r="N126" s="1">
        <v>2.95</v>
      </c>
      <c r="O126" s="1">
        <v>15311</v>
      </c>
      <c r="P126" s="1" t="s">
        <v>10</v>
      </c>
      <c r="Q126" s="1"/>
    </row>
    <row r="127" spans="7:17" x14ac:dyDescent="0.25">
      <c r="G127" s="1" t="str">
        <f>TEXT(Table1[[#This Row],[InvoiceDate]],"H AM/PM")</f>
        <v>9 AM</v>
      </c>
      <c r="H127" s="1">
        <f t="shared" si="1"/>
        <v>5.0999999999999996</v>
      </c>
      <c r="I127" s="1">
        <v>536381</v>
      </c>
      <c r="J127" s="1" t="s">
        <v>120</v>
      </c>
      <c r="K127" s="1" t="s">
        <v>121</v>
      </c>
      <c r="L127" s="1">
        <v>6</v>
      </c>
      <c r="M127" s="2">
        <v>40513.40347222222</v>
      </c>
      <c r="N127" s="1">
        <v>0.85</v>
      </c>
      <c r="O127" s="1">
        <v>15311</v>
      </c>
      <c r="P127" s="1" t="s">
        <v>10</v>
      </c>
      <c r="Q127" s="1"/>
    </row>
    <row r="128" spans="7:17" x14ac:dyDescent="0.25">
      <c r="G128" s="1" t="str">
        <f>TEXT(Table1[[#This Row],[InvoiceDate]],"H AM/PM")</f>
        <v>9 AM</v>
      </c>
      <c r="H128" s="1">
        <f t="shared" si="1"/>
        <v>3.75</v>
      </c>
      <c r="I128" s="1">
        <v>536381</v>
      </c>
      <c r="J128" s="1">
        <v>71270</v>
      </c>
      <c r="K128" s="1" t="s">
        <v>108</v>
      </c>
      <c r="L128" s="1">
        <v>3</v>
      </c>
      <c r="M128" s="2">
        <v>40513.40347222222</v>
      </c>
      <c r="N128" s="1">
        <v>1.25</v>
      </c>
      <c r="O128" s="1">
        <v>15311</v>
      </c>
      <c r="P128" s="1" t="s">
        <v>10</v>
      </c>
      <c r="Q128" s="1"/>
    </row>
    <row r="129" spans="7:17" x14ac:dyDescent="0.25">
      <c r="G129" s="1" t="str">
        <f>TEXT(Table1[[#This Row],[InvoiceDate]],"H AM/PM")</f>
        <v>9 AM</v>
      </c>
      <c r="H129" s="1">
        <f t="shared" si="1"/>
        <v>5.0999999999999996</v>
      </c>
      <c r="I129" s="1">
        <v>536381</v>
      </c>
      <c r="J129" s="1">
        <v>47580</v>
      </c>
      <c r="K129" s="1" t="s">
        <v>122</v>
      </c>
      <c r="L129" s="1">
        <v>2</v>
      </c>
      <c r="M129" s="2">
        <v>40513.40347222222</v>
      </c>
      <c r="N129" s="1">
        <v>2.5499999999999998</v>
      </c>
      <c r="O129" s="1">
        <v>15311</v>
      </c>
      <c r="P129" s="1" t="s">
        <v>10</v>
      </c>
      <c r="Q129" s="1"/>
    </row>
    <row r="130" spans="7:17" x14ac:dyDescent="0.25">
      <c r="G130" s="1" t="str">
        <f>TEXT(Table1[[#This Row],[InvoiceDate]],"H AM/PM")</f>
        <v>9 AM</v>
      </c>
      <c r="H130" s="1">
        <f t="shared" si="1"/>
        <v>0.85</v>
      </c>
      <c r="I130" s="1">
        <v>536381</v>
      </c>
      <c r="J130" s="1">
        <v>22261</v>
      </c>
      <c r="K130" s="1" t="s">
        <v>123</v>
      </c>
      <c r="L130" s="1">
        <v>1</v>
      </c>
      <c r="M130" s="2">
        <v>40513.40347222222</v>
      </c>
      <c r="N130" s="1">
        <v>0.85</v>
      </c>
      <c r="O130" s="1">
        <v>15311</v>
      </c>
      <c r="P130" s="1" t="s">
        <v>10</v>
      </c>
      <c r="Q130" s="1"/>
    </row>
    <row r="131" spans="7:17" x14ac:dyDescent="0.25">
      <c r="G131" s="1" t="str">
        <f>TEXT(Table1[[#This Row],[InvoiceDate]],"H AM/PM")</f>
        <v>9 AM</v>
      </c>
      <c r="H131" s="1">
        <f t="shared" ref="H131:H194" si="2">N131*L131</f>
        <v>0.85</v>
      </c>
      <c r="I131" s="1">
        <v>536381</v>
      </c>
      <c r="J131" s="1">
        <v>84832</v>
      </c>
      <c r="K131" s="1" t="s">
        <v>124</v>
      </c>
      <c r="L131" s="1">
        <v>1</v>
      </c>
      <c r="M131" s="2">
        <v>40513.40347222222</v>
      </c>
      <c r="N131" s="1">
        <v>0.85</v>
      </c>
      <c r="O131" s="1">
        <v>15311</v>
      </c>
      <c r="P131" s="1" t="s">
        <v>10</v>
      </c>
      <c r="Q131" s="1"/>
    </row>
    <row r="132" spans="7:17" x14ac:dyDescent="0.25">
      <c r="G132" s="1" t="str">
        <f>TEXT(Table1[[#This Row],[InvoiceDate]],"H AM/PM")</f>
        <v>9 AM</v>
      </c>
      <c r="H132" s="1">
        <f t="shared" si="2"/>
        <v>1.45</v>
      </c>
      <c r="I132" s="1">
        <v>536381</v>
      </c>
      <c r="J132" s="1">
        <v>22644</v>
      </c>
      <c r="K132" s="1" t="s">
        <v>125</v>
      </c>
      <c r="L132" s="1">
        <v>1</v>
      </c>
      <c r="M132" s="2">
        <v>40513.40347222222</v>
      </c>
      <c r="N132" s="1">
        <v>1.45</v>
      </c>
      <c r="O132" s="1">
        <v>15311</v>
      </c>
      <c r="P132" s="1" t="s">
        <v>10</v>
      </c>
      <c r="Q132" s="1"/>
    </row>
    <row r="133" spans="7:17" x14ac:dyDescent="0.25">
      <c r="G133" s="1" t="str">
        <f>TEXT(Table1[[#This Row],[InvoiceDate]],"H AM/PM")</f>
        <v>9 AM</v>
      </c>
      <c r="H133" s="1">
        <f t="shared" si="2"/>
        <v>4.95</v>
      </c>
      <c r="I133" s="1">
        <v>536381</v>
      </c>
      <c r="J133" s="1">
        <v>21533</v>
      </c>
      <c r="K133" s="1" t="s">
        <v>126</v>
      </c>
      <c r="L133" s="1">
        <v>1</v>
      </c>
      <c r="M133" s="2">
        <v>40513.40347222222</v>
      </c>
      <c r="N133" s="1">
        <v>4.95</v>
      </c>
      <c r="O133" s="1">
        <v>15311</v>
      </c>
      <c r="P133" s="1" t="s">
        <v>10</v>
      </c>
      <c r="Q133" s="1"/>
    </row>
    <row r="134" spans="7:17" x14ac:dyDescent="0.25">
      <c r="G134" s="1" t="str">
        <f>TEXT(Table1[[#This Row],[InvoiceDate]],"H AM/PM")</f>
        <v>9 AM</v>
      </c>
      <c r="H134" s="1">
        <f t="shared" si="2"/>
        <v>5.9</v>
      </c>
      <c r="I134" s="1">
        <v>536381</v>
      </c>
      <c r="J134" s="1">
        <v>21557</v>
      </c>
      <c r="K134" s="1" t="s">
        <v>127</v>
      </c>
      <c r="L134" s="1">
        <v>2</v>
      </c>
      <c r="M134" s="2">
        <v>40513.40347222222</v>
      </c>
      <c r="N134" s="1">
        <v>2.95</v>
      </c>
      <c r="O134" s="1">
        <v>15311</v>
      </c>
      <c r="P134" s="1" t="s">
        <v>10</v>
      </c>
      <c r="Q134" s="1"/>
    </row>
    <row r="135" spans="7:17" x14ac:dyDescent="0.25">
      <c r="G135" s="1" t="str">
        <f>TEXT(Table1[[#This Row],[InvoiceDate]],"H AM/PM")</f>
        <v>9 AM</v>
      </c>
      <c r="H135" s="1">
        <f t="shared" si="2"/>
        <v>11.9</v>
      </c>
      <c r="I135" s="1">
        <v>536381</v>
      </c>
      <c r="J135" s="1" t="s">
        <v>128</v>
      </c>
      <c r="K135" s="1" t="s">
        <v>129</v>
      </c>
      <c r="L135" s="1">
        <v>2</v>
      </c>
      <c r="M135" s="2">
        <v>40513.40347222222</v>
      </c>
      <c r="N135" s="1">
        <v>5.95</v>
      </c>
      <c r="O135" s="1">
        <v>15311</v>
      </c>
      <c r="P135" s="1" t="s">
        <v>10</v>
      </c>
      <c r="Q135" s="1"/>
    </row>
    <row r="136" spans="7:17" x14ac:dyDescent="0.25">
      <c r="G136" s="1" t="str">
        <f>TEXT(Table1[[#This Row],[InvoiceDate]],"H AM/PM")</f>
        <v>9 AM</v>
      </c>
      <c r="H136" s="1">
        <f t="shared" si="2"/>
        <v>11.9</v>
      </c>
      <c r="I136" s="1">
        <v>536381</v>
      </c>
      <c r="J136" s="1" t="s">
        <v>130</v>
      </c>
      <c r="K136" s="1" t="s">
        <v>131</v>
      </c>
      <c r="L136" s="1">
        <v>2</v>
      </c>
      <c r="M136" s="2">
        <v>40513.40347222222</v>
      </c>
      <c r="N136" s="1">
        <v>5.95</v>
      </c>
      <c r="O136" s="1">
        <v>15311</v>
      </c>
      <c r="P136" s="1" t="s">
        <v>10</v>
      </c>
      <c r="Q136" s="1"/>
    </row>
    <row r="137" spans="7:17" x14ac:dyDescent="0.25">
      <c r="G137" s="1" t="str">
        <f>TEXT(Table1[[#This Row],[InvoiceDate]],"H AM/PM")</f>
        <v>9 AM</v>
      </c>
      <c r="H137" s="1">
        <f t="shared" si="2"/>
        <v>5.8</v>
      </c>
      <c r="I137" s="1">
        <v>536381</v>
      </c>
      <c r="J137" s="1">
        <v>22646</v>
      </c>
      <c r="K137" s="1" t="s">
        <v>132</v>
      </c>
      <c r="L137" s="1">
        <v>4</v>
      </c>
      <c r="M137" s="2">
        <v>40513.40347222222</v>
      </c>
      <c r="N137" s="1">
        <v>1.45</v>
      </c>
      <c r="O137" s="1">
        <v>15311</v>
      </c>
      <c r="P137" s="1" t="s">
        <v>10</v>
      </c>
      <c r="Q137" s="1"/>
    </row>
    <row r="138" spans="7:17" x14ac:dyDescent="0.25">
      <c r="G138" s="1" t="str">
        <f>TEXT(Table1[[#This Row],[InvoiceDate]],"H AM/PM")</f>
        <v>9 AM</v>
      </c>
      <c r="H138" s="1">
        <f t="shared" si="2"/>
        <v>2.95</v>
      </c>
      <c r="I138" s="1">
        <v>536381</v>
      </c>
      <c r="J138" s="1">
        <v>22176</v>
      </c>
      <c r="K138" s="1" t="s">
        <v>133</v>
      </c>
      <c r="L138" s="1">
        <v>1</v>
      </c>
      <c r="M138" s="2">
        <v>40513.40347222222</v>
      </c>
      <c r="N138" s="1">
        <v>2.95</v>
      </c>
      <c r="O138" s="1">
        <v>15311</v>
      </c>
      <c r="P138" s="1" t="s">
        <v>10</v>
      </c>
      <c r="Q138" s="1"/>
    </row>
    <row r="139" spans="7:17" x14ac:dyDescent="0.25">
      <c r="G139" s="1" t="str">
        <f>TEXT(Table1[[#This Row],[InvoiceDate]],"H AM/PM")</f>
        <v>9 AM</v>
      </c>
      <c r="H139" s="1">
        <f t="shared" si="2"/>
        <v>1.95</v>
      </c>
      <c r="I139" s="1">
        <v>536381</v>
      </c>
      <c r="J139" s="1">
        <v>22438</v>
      </c>
      <c r="K139" s="1" t="s">
        <v>134</v>
      </c>
      <c r="L139" s="1">
        <v>1</v>
      </c>
      <c r="M139" s="2">
        <v>40513.40347222222</v>
      </c>
      <c r="N139" s="1">
        <v>1.95</v>
      </c>
      <c r="O139" s="1">
        <v>15311</v>
      </c>
      <c r="P139" s="1" t="s">
        <v>10</v>
      </c>
      <c r="Q139" s="1"/>
    </row>
    <row r="140" spans="7:17" x14ac:dyDescent="0.25">
      <c r="G140" s="1" t="str">
        <f>TEXT(Table1[[#This Row],[InvoiceDate]],"H AM/PM")</f>
        <v>9 AM</v>
      </c>
      <c r="H140" s="1">
        <f t="shared" si="2"/>
        <v>3.3</v>
      </c>
      <c r="I140" s="1">
        <v>536381</v>
      </c>
      <c r="J140" s="1">
        <v>21731</v>
      </c>
      <c r="K140" s="1" t="s">
        <v>53</v>
      </c>
      <c r="L140" s="1">
        <v>2</v>
      </c>
      <c r="M140" s="2">
        <v>40513.40347222222</v>
      </c>
      <c r="N140" s="1">
        <v>1.65</v>
      </c>
      <c r="O140" s="1">
        <v>15311</v>
      </c>
      <c r="P140" s="1" t="s">
        <v>10</v>
      </c>
      <c r="Q140" s="1"/>
    </row>
    <row r="141" spans="7:17" x14ac:dyDescent="0.25">
      <c r="G141" s="1" t="str">
        <f>TEXT(Table1[[#This Row],[InvoiceDate]],"H AM/PM")</f>
        <v>9 AM</v>
      </c>
      <c r="H141" s="1">
        <f t="shared" si="2"/>
        <v>11.850000000000001</v>
      </c>
      <c r="I141" s="1">
        <v>536381</v>
      </c>
      <c r="J141" s="1">
        <v>22778</v>
      </c>
      <c r="K141" s="1" t="s">
        <v>135</v>
      </c>
      <c r="L141" s="1">
        <v>3</v>
      </c>
      <c r="M141" s="2">
        <v>40513.40347222222</v>
      </c>
      <c r="N141" s="1">
        <v>3.95</v>
      </c>
      <c r="O141" s="1">
        <v>15311</v>
      </c>
      <c r="P141" s="1" t="s">
        <v>10</v>
      </c>
      <c r="Q141" s="1"/>
    </row>
    <row r="142" spans="7:17" x14ac:dyDescent="0.25">
      <c r="G142" s="1" t="str">
        <f>TEXT(Table1[[#This Row],[InvoiceDate]],"H AM/PM")</f>
        <v>9 AM</v>
      </c>
      <c r="H142" s="1">
        <f t="shared" si="2"/>
        <v>38.160000000000004</v>
      </c>
      <c r="I142" s="1">
        <v>536381</v>
      </c>
      <c r="J142" s="1">
        <v>22719</v>
      </c>
      <c r="K142" s="1" t="s">
        <v>136</v>
      </c>
      <c r="L142" s="1">
        <v>36</v>
      </c>
      <c r="M142" s="2">
        <v>40513.40347222222</v>
      </c>
      <c r="N142" s="1">
        <v>1.06</v>
      </c>
      <c r="O142" s="1">
        <v>15311</v>
      </c>
      <c r="P142" s="1" t="s">
        <v>10</v>
      </c>
      <c r="Q142" s="1"/>
    </row>
    <row r="143" spans="7:17" x14ac:dyDescent="0.25">
      <c r="G143" s="1" t="str">
        <f>TEXT(Table1[[#This Row],[InvoiceDate]],"H AM/PM")</f>
        <v>9 AM</v>
      </c>
      <c r="H143" s="1">
        <f t="shared" si="2"/>
        <v>67.5</v>
      </c>
      <c r="I143" s="1">
        <v>536381</v>
      </c>
      <c r="J143" s="1">
        <v>21523</v>
      </c>
      <c r="K143" s="1" t="s">
        <v>137</v>
      </c>
      <c r="L143" s="1">
        <v>10</v>
      </c>
      <c r="M143" s="2">
        <v>40513.40347222222</v>
      </c>
      <c r="N143" s="1">
        <v>6.75</v>
      </c>
      <c r="O143" s="1">
        <v>15311</v>
      </c>
      <c r="P143" s="1" t="s">
        <v>10</v>
      </c>
      <c r="Q143" s="1"/>
    </row>
    <row r="144" spans="7:17" x14ac:dyDescent="0.25">
      <c r="G144" s="1" t="str">
        <f>TEXT(Table1[[#This Row],[InvoiceDate]],"H AM/PM")</f>
        <v>9 AM</v>
      </c>
      <c r="H144" s="1">
        <f t="shared" si="2"/>
        <v>-27.5</v>
      </c>
      <c r="I144" s="1" t="s">
        <v>138</v>
      </c>
      <c r="J144" s="1" t="s">
        <v>139</v>
      </c>
      <c r="K144" s="1" t="s">
        <v>140</v>
      </c>
      <c r="L144" s="1">
        <v>-1</v>
      </c>
      <c r="M144" s="2">
        <v>40513.40347222222</v>
      </c>
      <c r="N144" s="1">
        <v>27.5</v>
      </c>
      <c r="O144" s="1">
        <v>14527</v>
      </c>
      <c r="P144" s="1" t="s">
        <v>10</v>
      </c>
      <c r="Q144" s="1"/>
    </row>
    <row r="145" spans="7:17" x14ac:dyDescent="0.25">
      <c r="G145" s="1" t="str">
        <f>TEXT(Table1[[#This Row],[InvoiceDate]],"H AM/PM")</f>
        <v>9 AM</v>
      </c>
      <c r="H145" s="1">
        <f t="shared" si="2"/>
        <v>10.199999999999999</v>
      </c>
      <c r="I145" s="1">
        <v>536382</v>
      </c>
      <c r="J145" s="1">
        <v>10002</v>
      </c>
      <c r="K145" s="1" t="s">
        <v>45</v>
      </c>
      <c r="L145" s="1">
        <v>12</v>
      </c>
      <c r="M145" s="2">
        <v>40513.40625</v>
      </c>
      <c r="N145" s="1">
        <v>0.85</v>
      </c>
      <c r="O145" s="1">
        <v>16098</v>
      </c>
      <c r="P145" s="1" t="s">
        <v>10</v>
      </c>
      <c r="Q145" s="1"/>
    </row>
    <row r="146" spans="7:17" x14ac:dyDescent="0.25">
      <c r="G146" s="1" t="str">
        <f>TEXT(Table1[[#This Row],[InvoiceDate]],"H AM/PM")</f>
        <v>9 AM</v>
      </c>
      <c r="H146" s="1">
        <f t="shared" si="2"/>
        <v>30</v>
      </c>
      <c r="I146" s="1">
        <v>536382</v>
      </c>
      <c r="J146" s="1">
        <v>21912</v>
      </c>
      <c r="K146" s="1" t="s">
        <v>141</v>
      </c>
      <c r="L146" s="1">
        <v>8</v>
      </c>
      <c r="M146" s="2">
        <v>40513.40625</v>
      </c>
      <c r="N146" s="1">
        <v>3.75</v>
      </c>
      <c r="O146" s="1">
        <v>16098</v>
      </c>
      <c r="P146" s="1" t="s">
        <v>10</v>
      </c>
      <c r="Q146" s="1"/>
    </row>
    <row r="147" spans="7:17" x14ac:dyDescent="0.25">
      <c r="G147" s="1" t="str">
        <f>TEXT(Table1[[#This Row],[InvoiceDate]],"H AM/PM")</f>
        <v>9 AM</v>
      </c>
      <c r="H147" s="1">
        <f t="shared" si="2"/>
        <v>19.799999999999997</v>
      </c>
      <c r="I147" s="1">
        <v>536382</v>
      </c>
      <c r="J147" s="1">
        <v>21832</v>
      </c>
      <c r="K147" s="1" t="s">
        <v>142</v>
      </c>
      <c r="L147" s="1">
        <v>12</v>
      </c>
      <c r="M147" s="2">
        <v>40513.40625</v>
      </c>
      <c r="N147" s="1">
        <v>1.65</v>
      </c>
      <c r="O147" s="1">
        <v>16098</v>
      </c>
      <c r="P147" s="1" t="s">
        <v>10</v>
      </c>
      <c r="Q147" s="1"/>
    </row>
    <row r="148" spans="7:17" x14ac:dyDescent="0.25">
      <c r="G148" s="1" t="str">
        <f>TEXT(Table1[[#This Row],[InvoiceDate]],"H AM/PM")</f>
        <v>9 AM</v>
      </c>
      <c r="H148" s="1">
        <f t="shared" si="2"/>
        <v>19.5</v>
      </c>
      <c r="I148" s="1">
        <v>536382</v>
      </c>
      <c r="J148" s="1">
        <v>22411</v>
      </c>
      <c r="K148" s="1" t="s">
        <v>103</v>
      </c>
      <c r="L148" s="1">
        <v>10</v>
      </c>
      <c r="M148" s="2">
        <v>40513.40625</v>
      </c>
      <c r="N148" s="1">
        <v>1.95</v>
      </c>
      <c r="O148" s="1">
        <v>16098</v>
      </c>
      <c r="P148" s="1" t="s">
        <v>10</v>
      </c>
      <c r="Q148" s="1"/>
    </row>
    <row r="149" spans="7:17" x14ac:dyDescent="0.25">
      <c r="G149" s="1" t="str">
        <f>TEXT(Table1[[#This Row],[InvoiceDate]],"H AM/PM")</f>
        <v>9 AM</v>
      </c>
      <c r="H149" s="1">
        <f t="shared" si="2"/>
        <v>21</v>
      </c>
      <c r="I149" s="1">
        <v>536382</v>
      </c>
      <c r="J149" s="1">
        <v>22379</v>
      </c>
      <c r="K149" s="1" t="s">
        <v>143</v>
      </c>
      <c r="L149" s="1">
        <v>10</v>
      </c>
      <c r="M149" s="2">
        <v>40513.40625</v>
      </c>
      <c r="N149" s="1">
        <v>2.1</v>
      </c>
      <c r="O149" s="1">
        <v>16098</v>
      </c>
      <c r="P149" s="1" t="s">
        <v>10</v>
      </c>
      <c r="Q149" s="1"/>
    </row>
    <row r="150" spans="7:17" x14ac:dyDescent="0.25">
      <c r="G150" s="1" t="str">
        <f>TEXT(Table1[[#This Row],[InvoiceDate]],"H AM/PM")</f>
        <v>9 AM</v>
      </c>
      <c r="H150" s="1">
        <f t="shared" si="2"/>
        <v>92.5</v>
      </c>
      <c r="I150" s="1">
        <v>536382</v>
      </c>
      <c r="J150" s="1">
        <v>22381</v>
      </c>
      <c r="K150" s="1" t="s">
        <v>144</v>
      </c>
      <c r="L150" s="1">
        <v>50</v>
      </c>
      <c r="M150" s="2">
        <v>40513.40625</v>
      </c>
      <c r="N150" s="1">
        <v>1.85</v>
      </c>
      <c r="O150" s="1">
        <v>16098</v>
      </c>
      <c r="P150" s="1" t="s">
        <v>10</v>
      </c>
      <c r="Q150" s="1"/>
    </row>
    <row r="151" spans="7:17" x14ac:dyDescent="0.25">
      <c r="G151" s="1" t="str">
        <f>TEXT(Table1[[#This Row],[InvoiceDate]],"H AM/PM")</f>
        <v>9 AM</v>
      </c>
      <c r="H151" s="1">
        <f t="shared" si="2"/>
        <v>23.6</v>
      </c>
      <c r="I151" s="1">
        <v>536382</v>
      </c>
      <c r="J151" s="1">
        <v>22798</v>
      </c>
      <c r="K151" s="1" t="s">
        <v>145</v>
      </c>
      <c r="L151" s="1">
        <v>8</v>
      </c>
      <c r="M151" s="2">
        <v>40513.40625</v>
      </c>
      <c r="N151" s="1">
        <v>2.95</v>
      </c>
      <c r="O151" s="1">
        <v>16098</v>
      </c>
      <c r="P151" s="1" t="s">
        <v>10</v>
      </c>
      <c r="Q151" s="1"/>
    </row>
    <row r="152" spans="7:17" x14ac:dyDescent="0.25">
      <c r="G152" s="1" t="str">
        <f>TEXT(Table1[[#This Row],[InvoiceDate]],"H AM/PM")</f>
        <v>9 AM</v>
      </c>
      <c r="H152" s="1">
        <f t="shared" si="2"/>
        <v>15</v>
      </c>
      <c r="I152" s="1">
        <v>536382</v>
      </c>
      <c r="J152" s="1">
        <v>22726</v>
      </c>
      <c r="K152" s="1" t="s">
        <v>42</v>
      </c>
      <c r="L152" s="1">
        <v>4</v>
      </c>
      <c r="M152" s="2">
        <v>40513.40625</v>
      </c>
      <c r="N152" s="1">
        <v>3.75</v>
      </c>
      <c r="O152" s="1">
        <v>16098</v>
      </c>
      <c r="P152" s="1" t="s">
        <v>10</v>
      </c>
      <c r="Q152" s="1"/>
    </row>
    <row r="153" spans="7:17" x14ac:dyDescent="0.25">
      <c r="G153" s="1" t="str">
        <f>TEXT(Table1[[#This Row],[InvoiceDate]],"H AM/PM")</f>
        <v>9 AM</v>
      </c>
      <c r="H153" s="1">
        <f t="shared" si="2"/>
        <v>71.400000000000006</v>
      </c>
      <c r="I153" s="1">
        <v>536382</v>
      </c>
      <c r="J153" s="1">
        <v>22926</v>
      </c>
      <c r="K153" s="1" t="s">
        <v>146</v>
      </c>
      <c r="L153" s="1">
        <v>12</v>
      </c>
      <c r="M153" s="2">
        <v>40513.40625</v>
      </c>
      <c r="N153" s="1">
        <v>5.95</v>
      </c>
      <c r="O153" s="1">
        <v>16098</v>
      </c>
      <c r="P153" s="1" t="s">
        <v>10</v>
      </c>
      <c r="Q153" s="1"/>
    </row>
    <row r="154" spans="7:17" x14ac:dyDescent="0.25">
      <c r="G154" s="1" t="str">
        <f>TEXT(Table1[[#This Row],[InvoiceDate]],"H AM/PM")</f>
        <v>9 AM</v>
      </c>
      <c r="H154" s="1">
        <f t="shared" si="2"/>
        <v>29.9</v>
      </c>
      <c r="I154" s="1">
        <v>536382</v>
      </c>
      <c r="J154" s="1">
        <v>22839</v>
      </c>
      <c r="K154" s="1" t="s">
        <v>147</v>
      </c>
      <c r="L154" s="1">
        <v>2</v>
      </c>
      <c r="M154" s="2">
        <v>40513.40625</v>
      </c>
      <c r="N154" s="1">
        <v>14.95</v>
      </c>
      <c r="O154" s="1">
        <v>16098</v>
      </c>
      <c r="P154" s="1" t="s">
        <v>10</v>
      </c>
      <c r="Q154" s="1"/>
    </row>
    <row r="155" spans="7:17" x14ac:dyDescent="0.25">
      <c r="G155" s="1" t="str">
        <f>TEXT(Table1[[#This Row],[InvoiceDate]],"H AM/PM")</f>
        <v>9 AM</v>
      </c>
      <c r="H155" s="1">
        <f t="shared" si="2"/>
        <v>29.9</v>
      </c>
      <c r="I155" s="1">
        <v>536382</v>
      </c>
      <c r="J155" s="1">
        <v>22838</v>
      </c>
      <c r="K155" s="1" t="s">
        <v>148</v>
      </c>
      <c r="L155" s="1">
        <v>2</v>
      </c>
      <c r="M155" s="2">
        <v>40513.40625</v>
      </c>
      <c r="N155" s="1">
        <v>14.95</v>
      </c>
      <c r="O155" s="1">
        <v>16098</v>
      </c>
      <c r="P155" s="1" t="s">
        <v>10</v>
      </c>
      <c r="Q155" s="1"/>
    </row>
    <row r="156" spans="7:17" x14ac:dyDescent="0.25">
      <c r="G156" s="1" t="str">
        <f>TEXT(Table1[[#This Row],[InvoiceDate]],"H AM/PM")</f>
        <v>9 AM</v>
      </c>
      <c r="H156" s="1">
        <f t="shared" si="2"/>
        <v>67.8</v>
      </c>
      <c r="I156" s="1">
        <v>536382</v>
      </c>
      <c r="J156" s="1">
        <v>22783</v>
      </c>
      <c r="K156" s="1" t="s">
        <v>149</v>
      </c>
      <c r="L156" s="1">
        <v>4</v>
      </c>
      <c r="M156" s="2">
        <v>40513.40625</v>
      </c>
      <c r="N156" s="1">
        <v>16.95</v>
      </c>
      <c r="O156" s="1">
        <v>16098</v>
      </c>
      <c r="P156" s="1" t="s">
        <v>10</v>
      </c>
      <c r="Q156" s="1"/>
    </row>
    <row r="157" spans="7:17" x14ac:dyDescent="0.25">
      <c r="G157" s="1" t="str">
        <f>TEXT(Table1[[#This Row],[InvoiceDate]],"H AM/PM")</f>
        <v>9 AM</v>
      </c>
      <c r="H157" s="1">
        <f t="shared" si="2"/>
        <v>-4.6500000000000004</v>
      </c>
      <c r="I157" s="1" t="s">
        <v>150</v>
      </c>
      <c r="J157" s="1" t="s">
        <v>151</v>
      </c>
      <c r="K157" s="1" t="s">
        <v>152</v>
      </c>
      <c r="L157" s="1">
        <v>-1</v>
      </c>
      <c r="M157" s="2">
        <v>40513.40902777778</v>
      </c>
      <c r="N157" s="1">
        <v>4.6500000000000004</v>
      </c>
      <c r="O157" s="1">
        <v>15311</v>
      </c>
      <c r="P157" s="1" t="s">
        <v>10</v>
      </c>
      <c r="Q157" s="1"/>
    </row>
    <row r="158" spans="7:17" x14ac:dyDescent="0.25">
      <c r="G158" s="1" t="str">
        <f>TEXT(Table1[[#This Row],[InvoiceDate]],"H AM/PM")</f>
        <v>9 AM</v>
      </c>
      <c r="H158" s="1">
        <f t="shared" si="2"/>
        <v>19.350000000000001</v>
      </c>
      <c r="I158" s="1">
        <v>536384</v>
      </c>
      <c r="J158" s="1">
        <v>82484</v>
      </c>
      <c r="K158" s="1" t="s">
        <v>153</v>
      </c>
      <c r="L158" s="1">
        <v>3</v>
      </c>
      <c r="M158" s="2">
        <v>40513.411805555559</v>
      </c>
      <c r="N158" s="1">
        <v>6.45</v>
      </c>
      <c r="O158" s="1">
        <v>18074</v>
      </c>
      <c r="P158" s="1" t="s">
        <v>10</v>
      </c>
      <c r="Q158" s="1"/>
    </row>
    <row r="159" spans="7:17" x14ac:dyDescent="0.25">
      <c r="G159" s="1" t="str">
        <f>TEXT(Table1[[#This Row],[InvoiceDate]],"H AM/PM")</f>
        <v>9 AM</v>
      </c>
      <c r="H159" s="1">
        <f t="shared" si="2"/>
        <v>31.200000000000003</v>
      </c>
      <c r="I159" s="1">
        <v>536384</v>
      </c>
      <c r="J159" s="1">
        <v>84755</v>
      </c>
      <c r="K159" s="1" t="s">
        <v>154</v>
      </c>
      <c r="L159" s="1">
        <v>48</v>
      </c>
      <c r="M159" s="2">
        <v>40513.411805555559</v>
      </c>
      <c r="N159" s="1">
        <v>0.65</v>
      </c>
      <c r="O159" s="1">
        <v>18074</v>
      </c>
      <c r="P159" s="1" t="s">
        <v>10</v>
      </c>
      <c r="Q159" s="1"/>
    </row>
    <row r="160" spans="7:17" x14ac:dyDescent="0.25">
      <c r="G160" s="1" t="str">
        <f>TEXT(Table1[[#This Row],[InvoiceDate]],"H AM/PM")</f>
        <v>9 AM</v>
      </c>
      <c r="H160" s="1">
        <f t="shared" si="2"/>
        <v>19.799999999999997</v>
      </c>
      <c r="I160" s="1">
        <v>536384</v>
      </c>
      <c r="J160" s="1">
        <v>22464</v>
      </c>
      <c r="K160" s="1" t="s">
        <v>155</v>
      </c>
      <c r="L160" s="1">
        <v>12</v>
      </c>
      <c r="M160" s="2">
        <v>40513.411805555559</v>
      </c>
      <c r="N160" s="1">
        <v>1.65</v>
      </c>
      <c r="O160" s="1">
        <v>18074</v>
      </c>
      <c r="P160" s="1" t="s">
        <v>10</v>
      </c>
      <c r="Q160" s="1"/>
    </row>
    <row r="161" spans="7:17" x14ac:dyDescent="0.25">
      <c r="G161" s="1" t="str">
        <f>TEXT(Table1[[#This Row],[InvoiceDate]],"H AM/PM")</f>
        <v>9 AM</v>
      </c>
      <c r="H161" s="1">
        <f t="shared" si="2"/>
        <v>17.700000000000003</v>
      </c>
      <c r="I161" s="1">
        <v>536384</v>
      </c>
      <c r="J161" s="1">
        <v>21324</v>
      </c>
      <c r="K161" s="1" t="s">
        <v>156</v>
      </c>
      <c r="L161" s="1">
        <v>6</v>
      </c>
      <c r="M161" s="2">
        <v>40513.411805555559</v>
      </c>
      <c r="N161" s="1">
        <v>2.95</v>
      </c>
      <c r="O161" s="1">
        <v>18074</v>
      </c>
      <c r="P161" s="1" t="s">
        <v>10</v>
      </c>
      <c r="Q161" s="1"/>
    </row>
    <row r="162" spans="7:17" x14ac:dyDescent="0.25">
      <c r="G162" s="1" t="str">
        <f>TEXT(Table1[[#This Row],[InvoiceDate]],"H AM/PM")</f>
        <v>9 AM</v>
      </c>
      <c r="H162" s="1">
        <f t="shared" si="2"/>
        <v>35.400000000000006</v>
      </c>
      <c r="I162" s="1">
        <v>536384</v>
      </c>
      <c r="J162" s="1">
        <v>22457</v>
      </c>
      <c r="K162" s="1" t="s">
        <v>157</v>
      </c>
      <c r="L162" s="1">
        <v>12</v>
      </c>
      <c r="M162" s="2">
        <v>40513.411805555559</v>
      </c>
      <c r="N162" s="1">
        <v>2.95</v>
      </c>
      <c r="O162" s="1">
        <v>18074</v>
      </c>
      <c r="P162" s="1" t="s">
        <v>10</v>
      </c>
      <c r="Q162" s="1"/>
    </row>
    <row r="163" spans="7:17" x14ac:dyDescent="0.25">
      <c r="G163" s="1" t="str">
        <f>TEXT(Table1[[#This Row],[InvoiceDate]],"H AM/PM")</f>
        <v>9 AM</v>
      </c>
      <c r="H163" s="1">
        <f t="shared" si="2"/>
        <v>58</v>
      </c>
      <c r="I163" s="1">
        <v>536384</v>
      </c>
      <c r="J163" s="1">
        <v>22469</v>
      </c>
      <c r="K163" s="1" t="s">
        <v>158</v>
      </c>
      <c r="L163" s="1">
        <v>40</v>
      </c>
      <c r="M163" s="2">
        <v>40513.411805555559</v>
      </c>
      <c r="N163" s="1">
        <v>1.45</v>
      </c>
      <c r="O163" s="1">
        <v>18074</v>
      </c>
      <c r="P163" s="1" t="s">
        <v>10</v>
      </c>
      <c r="Q163" s="1"/>
    </row>
    <row r="164" spans="7:17" x14ac:dyDescent="0.25">
      <c r="G164" s="1" t="str">
        <f>TEXT(Table1[[#This Row],[InvoiceDate]],"H AM/PM")</f>
        <v>9 AM</v>
      </c>
      <c r="H164" s="1">
        <f t="shared" si="2"/>
        <v>102</v>
      </c>
      <c r="I164" s="1">
        <v>536384</v>
      </c>
      <c r="J164" s="1">
        <v>22470</v>
      </c>
      <c r="K164" s="1" t="s">
        <v>159</v>
      </c>
      <c r="L164" s="1">
        <v>40</v>
      </c>
      <c r="M164" s="2">
        <v>40513.411805555559</v>
      </c>
      <c r="N164" s="1">
        <v>2.5499999999999998</v>
      </c>
      <c r="O164" s="1">
        <v>18074</v>
      </c>
      <c r="P164" s="1" t="s">
        <v>10</v>
      </c>
      <c r="Q164" s="1"/>
    </row>
    <row r="165" spans="7:17" x14ac:dyDescent="0.25">
      <c r="G165" s="1" t="str">
        <f>TEXT(Table1[[#This Row],[InvoiceDate]],"H AM/PM")</f>
        <v>9 AM</v>
      </c>
      <c r="H165" s="1">
        <f t="shared" si="2"/>
        <v>17.700000000000003</v>
      </c>
      <c r="I165" s="1">
        <v>536384</v>
      </c>
      <c r="J165" s="1">
        <v>22224</v>
      </c>
      <c r="K165" s="1" t="s">
        <v>160</v>
      </c>
      <c r="L165" s="1">
        <v>6</v>
      </c>
      <c r="M165" s="2">
        <v>40513.411805555559</v>
      </c>
      <c r="N165" s="1">
        <v>2.95</v>
      </c>
      <c r="O165" s="1">
        <v>18074</v>
      </c>
      <c r="P165" s="1" t="s">
        <v>10</v>
      </c>
      <c r="Q165" s="1"/>
    </row>
    <row r="166" spans="7:17" x14ac:dyDescent="0.25">
      <c r="G166" s="1" t="str">
        <f>TEXT(Table1[[#This Row],[InvoiceDate]],"H AM/PM")</f>
        <v>9 AM</v>
      </c>
      <c r="H166" s="1">
        <f t="shared" si="2"/>
        <v>25.5</v>
      </c>
      <c r="I166" s="1">
        <v>536384</v>
      </c>
      <c r="J166" s="1">
        <v>21340</v>
      </c>
      <c r="K166" s="1" t="s">
        <v>161</v>
      </c>
      <c r="L166" s="1">
        <v>2</v>
      </c>
      <c r="M166" s="2">
        <v>40513.411805555559</v>
      </c>
      <c r="N166" s="1">
        <v>12.75</v>
      </c>
      <c r="O166" s="1">
        <v>18074</v>
      </c>
      <c r="P166" s="1" t="s">
        <v>10</v>
      </c>
      <c r="Q166" s="1"/>
    </row>
    <row r="167" spans="7:17" x14ac:dyDescent="0.25">
      <c r="G167" s="1" t="str">
        <f>TEXT(Table1[[#This Row],[InvoiceDate]],"H AM/PM")</f>
        <v>9 AM</v>
      </c>
      <c r="H167" s="1">
        <f t="shared" si="2"/>
        <v>15.8</v>
      </c>
      <c r="I167" s="1">
        <v>536384</v>
      </c>
      <c r="J167" s="1">
        <v>22189</v>
      </c>
      <c r="K167" s="1" t="s">
        <v>162</v>
      </c>
      <c r="L167" s="1">
        <v>4</v>
      </c>
      <c r="M167" s="2">
        <v>40513.411805555559</v>
      </c>
      <c r="N167" s="1">
        <v>3.95</v>
      </c>
      <c r="O167" s="1">
        <v>18074</v>
      </c>
      <c r="P167" s="1" t="s">
        <v>10</v>
      </c>
      <c r="Q167" s="1"/>
    </row>
    <row r="168" spans="7:17" x14ac:dyDescent="0.25">
      <c r="G168" s="1" t="str">
        <f>TEXT(Table1[[#This Row],[InvoiceDate]],"H AM/PM")</f>
        <v>9 AM</v>
      </c>
      <c r="H168" s="1">
        <f t="shared" si="2"/>
        <v>17.850000000000001</v>
      </c>
      <c r="I168" s="1">
        <v>536384</v>
      </c>
      <c r="J168" s="1">
        <v>22427</v>
      </c>
      <c r="K168" s="1" t="s">
        <v>163</v>
      </c>
      <c r="L168" s="1">
        <v>3</v>
      </c>
      <c r="M168" s="2">
        <v>40513.411805555559</v>
      </c>
      <c r="N168" s="1">
        <v>5.95</v>
      </c>
      <c r="O168" s="1">
        <v>18074</v>
      </c>
      <c r="P168" s="1" t="s">
        <v>10</v>
      </c>
      <c r="Q168" s="1"/>
    </row>
    <row r="169" spans="7:17" x14ac:dyDescent="0.25">
      <c r="G169" s="1" t="str">
        <f>TEXT(Table1[[#This Row],[InvoiceDate]],"H AM/PM")</f>
        <v>9 AM</v>
      </c>
      <c r="H169" s="1">
        <f t="shared" si="2"/>
        <v>41.7</v>
      </c>
      <c r="I169" s="1">
        <v>536384</v>
      </c>
      <c r="J169" s="1">
        <v>22428</v>
      </c>
      <c r="K169" s="1" t="s">
        <v>164</v>
      </c>
      <c r="L169" s="1">
        <v>6</v>
      </c>
      <c r="M169" s="2">
        <v>40513.411805555559</v>
      </c>
      <c r="N169" s="1">
        <v>6.95</v>
      </c>
      <c r="O169" s="1">
        <v>18074</v>
      </c>
      <c r="P169" s="1" t="s">
        <v>10</v>
      </c>
      <c r="Q169" s="1"/>
    </row>
    <row r="170" spans="7:17" x14ac:dyDescent="0.25">
      <c r="G170" s="1" t="str">
        <f>TEXT(Table1[[#This Row],[InvoiceDate]],"H AM/PM")</f>
        <v>9 AM</v>
      </c>
      <c r="H170" s="1">
        <f t="shared" si="2"/>
        <v>87.6</v>
      </c>
      <c r="I170" s="1">
        <v>536384</v>
      </c>
      <c r="J170" s="1">
        <v>22424</v>
      </c>
      <c r="K170" s="1" t="s">
        <v>165</v>
      </c>
      <c r="L170" s="1">
        <v>8</v>
      </c>
      <c r="M170" s="2">
        <v>40513.411805555559</v>
      </c>
      <c r="N170" s="1">
        <v>10.95</v>
      </c>
      <c r="O170" s="1">
        <v>18074</v>
      </c>
      <c r="P170" s="1" t="s">
        <v>10</v>
      </c>
      <c r="Q170" s="1"/>
    </row>
    <row r="171" spans="7:17" x14ac:dyDescent="0.25">
      <c r="G171" s="1" t="str">
        <f>TEXT(Table1[[#This Row],[InvoiceDate]],"H AM/PM")</f>
        <v>9 AM</v>
      </c>
      <c r="H171" s="1">
        <f t="shared" si="2"/>
        <v>19.95</v>
      </c>
      <c r="I171" s="1">
        <v>536385</v>
      </c>
      <c r="J171" s="1">
        <v>22783</v>
      </c>
      <c r="K171" s="1" t="s">
        <v>149</v>
      </c>
      <c r="L171" s="1">
        <v>1</v>
      </c>
      <c r="M171" s="2">
        <v>40513.413888888892</v>
      </c>
      <c r="N171" s="1">
        <v>19.95</v>
      </c>
      <c r="O171" s="1">
        <v>17420</v>
      </c>
      <c r="P171" s="1" t="s">
        <v>10</v>
      </c>
      <c r="Q171" s="1"/>
    </row>
    <row r="172" spans="7:17" x14ac:dyDescent="0.25">
      <c r="G172" s="1" t="str">
        <f>TEXT(Table1[[#This Row],[InvoiceDate]],"H AM/PM")</f>
        <v>9 AM</v>
      </c>
      <c r="H172" s="1">
        <f t="shared" si="2"/>
        <v>17.399999999999999</v>
      </c>
      <c r="I172" s="1">
        <v>536385</v>
      </c>
      <c r="J172" s="1">
        <v>22961</v>
      </c>
      <c r="K172" s="1" t="s">
        <v>100</v>
      </c>
      <c r="L172" s="1">
        <v>12</v>
      </c>
      <c r="M172" s="2">
        <v>40513.413888888892</v>
      </c>
      <c r="N172" s="1">
        <v>1.45</v>
      </c>
      <c r="O172" s="1">
        <v>17420</v>
      </c>
      <c r="P172" s="1" t="s">
        <v>10</v>
      </c>
      <c r="Q172" s="1"/>
    </row>
    <row r="173" spans="7:17" x14ac:dyDescent="0.25">
      <c r="G173" s="1" t="str">
        <f>TEXT(Table1[[#This Row],[InvoiceDate]],"H AM/PM")</f>
        <v>9 AM</v>
      </c>
      <c r="H173" s="1">
        <f t="shared" si="2"/>
        <v>25.5</v>
      </c>
      <c r="I173" s="1">
        <v>536385</v>
      </c>
      <c r="J173" s="1">
        <v>22960</v>
      </c>
      <c r="K173" s="1" t="s">
        <v>34</v>
      </c>
      <c r="L173" s="1">
        <v>6</v>
      </c>
      <c r="M173" s="2">
        <v>40513.413888888892</v>
      </c>
      <c r="N173" s="1">
        <v>4.25</v>
      </c>
      <c r="O173" s="1">
        <v>17420</v>
      </c>
      <c r="P173" s="1" t="s">
        <v>10</v>
      </c>
      <c r="Q173" s="1"/>
    </row>
    <row r="174" spans="7:17" x14ac:dyDescent="0.25">
      <c r="G174" s="1" t="str">
        <f>TEXT(Table1[[#This Row],[InvoiceDate]],"H AM/PM")</f>
        <v>9 AM</v>
      </c>
      <c r="H174" s="1">
        <f t="shared" si="2"/>
        <v>19.5</v>
      </c>
      <c r="I174" s="1">
        <v>536385</v>
      </c>
      <c r="J174" s="1">
        <v>22663</v>
      </c>
      <c r="K174" s="1" t="s">
        <v>166</v>
      </c>
      <c r="L174" s="1">
        <v>10</v>
      </c>
      <c r="M174" s="2">
        <v>40513.413888888892</v>
      </c>
      <c r="N174" s="1">
        <v>1.95</v>
      </c>
      <c r="O174" s="1">
        <v>17420</v>
      </c>
      <c r="P174" s="1" t="s">
        <v>10</v>
      </c>
      <c r="Q174" s="1"/>
    </row>
    <row r="175" spans="7:17" x14ac:dyDescent="0.25">
      <c r="G175" s="1" t="str">
        <f>TEXT(Table1[[#This Row],[InvoiceDate]],"H AM/PM")</f>
        <v>9 AM</v>
      </c>
      <c r="H175" s="1">
        <f t="shared" si="2"/>
        <v>15</v>
      </c>
      <c r="I175" s="1">
        <v>536385</v>
      </c>
      <c r="J175" s="1" t="s">
        <v>167</v>
      </c>
      <c r="K175" s="1" t="s">
        <v>168</v>
      </c>
      <c r="L175" s="1">
        <v>12</v>
      </c>
      <c r="M175" s="2">
        <v>40513.413888888892</v>
      </c>
      <c r="N175" s="1">
        <v>1.25</v>
      </c>
      <c r="O175" s="1">
        <v>17420</v>
      </c>
      <c r="P175" s="1" t="s">
        <v>10</v>
      </c>
      <c r="Q175" s="1"/>
    </row>
    <row r="176" spans="7:17" x14ac:dyDescent="0.25">
      <c r="G176" s="1" t="str">
        <f>TEXT(Table1[[#This Row],[InvoiceDate]],"H AM/PM")</f>
        <v>9 AM</v>
      </c>
      <c r="H176" s="1">
        <f t="shared" si="2"/>
        <v>17</v>
      </c>
      <c r="I176" s="1">
        <v>536385</v>
      </c>
      <c r="J176" s="1">
        <v>22168</v>
      </c>
      <c r="K176" s="1" t="s">
        <v>169</v>
      </c>
      <c r="L176" s="1">
        <v>2</v>
      </c>
      <c r="M176" s="2">
        <v>40513.413888888892</v>
      </c>
      <c r="N176" s="1">
        <v>8.5</v>
      </c>
      <c r="O176" s="1">
        <v>17420</v>
      </c>
      <c r="P176" s="1" t="s">
        <v>10</v>
      </c>
      <c r="Q176" s="1"/>
    </row>
    <row r="177" spans="7:17" x14ac:dyDescent="0.25">
      <c r="G177" s="1" t="str">
        <f>TEXT(Table1[[#This Row],[InvoiceDate]],"H AM/PM")</f>
        <v>9 AM</v>
      </c>
      <c r="H177" s="1">
        <f t="shared" si="2"/>
        <v>16.5</v>
      </c>
      <c r="I177" s="1">
        <v>536385</v>
      </c>
      <c r="J177" s="1">
        <v>22662</v>
      </c>
      <c r="K177" s="1" t="s">
        <v>170</v>
      </c>
      <c r="L177" s="1">
        <v>10</v>
      </c>
      <c r="M177" s="2">
        <v>40513.413888888892</v>
      </c>
      <c r="N177" s="1">
        <v>1.65</v>
      </c>
      <c r="O177" s="1">
        <v>17420</v>
      </c>
      <c r="P177" s="1" t="s">
        <v>10</v>
      </c>
      <c r="Q177" s="1"/>
    </row>
    <row r="178" spans="7:17" x14ac:dyDescent="0.25">
      <c r="G178" s="1" t="str">
        <f>TEXT(Table1[[#This Row],[InvoiceDate]],"H AM/PM")</f>
        <v>9 AM</v>
      </c>
      <c r="H178" s="1">
        <f t="shared" si="2"/>
        <v>178.20000000000002</v>
      </c>
      <c r="I178" s="1">
        <v>536386</v>
      </c>
      <c r="J178" s="1">
        <v>84880</v>
      </c>
      <c r="K178" s="1" t="s">
        <v>171</v>
      </c>
      <c r="L178" s="1">
        <v>36</v>
      </c>
      <c r="M178" s="2">
        <v>40513.414583333331</v>
      </c>
      <c r="N178" s="1">
        <v>4.95</v>
      </c>
      <c r="O178" s="1">
        <v>16029</v>
      </c>
      <c r="P178" s="1" t="s">
        <v>10</v>
      </c>
      <c r="Q178" s="1"/>
    </row>
    <row r="179" spans="7:17" x14ac:dyDescent="0.25">
      <c r="G179" s="1" t="str">
        <f>TEXT(Table1[[#This Row],[InvoiceDate]],"H AM/PM")</f>
        <v>9 AM</v>
      </c>
      <c r="H179" s="1">
        <f t="shared" si="2"/>
        <v>165</v>
      </c>
      <c r="I179" s="1">
        <v>536386</v>
      </c>
      <c r="J179" s="1" t="s">
        <v>76</v>
      </c>
      <c r="K179" s="1" t="s">
        <v>77</v>
      </c>
      <c r="L179" s="1">
        <v>100</v>
      </c>
      <c r="M179" s="2">
        <v>40513.414583333331</v>
      </c>
      <c r="N179" s="1">
        <v>1.65</v>
      </c>
      <c r="O179" s="1">
        <v>16029</v>
      </c>
      <c r="P179" s="1" t="s">
        <v>10</v>
      </c>
      <c r="Q179" s="1"/>
    </row>
    <row r="180" spans="7:17" x14ac:dyDescent="0.25">
      <c r="G180" s="1" t="str">
        <f>TEXT(Table1[[#This Row],[InvoiceDate]],"H AM/PM")</f>
        <v>9 AM</v>
      </c>
      <c r="H180" s="1">
        <f t="shared" si="2"/>
        <v>165</v>
      </c>
      <c r="I180" s="1">
        <v>536386</v>
      </c>
      <c r="J180" s="1" t="s">
        <v>172</v>
      </c>
      <c r="K180" s="1" t="s">
        <v>173</v>
      </c>
      <c r="L180" s="1">
        <v>100</v>
      </c>
      <c r="M180" s="2">
        <v>40513.414583333331</v>
      </c>
      <c r="N180" s="1">
        <v>1.65</v>
      </c>
      <c r="O180" s="1">
        <v>16029</v>
      </c>
      <c r="P180" s="1" t="s">
        <v>10</v>
      </c>
      <c r="Q180" s="1"/>
    </row>
    <row r="181" spans="7:17" x14ac:dyDescent="0.25">
      <c r="G181" s="1" t="str">
        <f>TEXT(Table1[[#This Row],[InvoiceDate]],"H AM/PM")</f>
        <v>9 AM</v>
      </c>
      <c r="H181" s="1">
        <f t="shared" si="2"/>
        <v>733.43999999999994</v>
      </c>
      <c r="I181" s="1">
        <v>536387</v>
      </c>
      <c r="J181" s="1">
        <v>79321</v>
      </c>
      <c r="K181" s="1" t="s">
        <v>174</v>
      </c>
      <c r="L181" s="1">
        <v>192</v>
      </c>
      <c r="M181" s="2">
        <v>40513.415277777778</v>
      </c>
      <c r="N181" s="1">
        <v>3.82</v>
      </c>
      <c r="O181" s="1">
        <v>16029</v>
      </c>
      <c r="P181" s="1" t="s">
        <v>10</v>
      </c>
      <c r="Q181" s="1"/>
    </row>
    <row r="182" spans="7:17" x14ac:dyDescent="0.25">
      <c r="G182" s="1" t="str">
        <f>TEXT(Table1[[#This Row],[InvoiceDate]],"H AM/PM")</f>
        <v>9 AM</v>
      </c>
      <c r="H182" s="1">
        <f t="shared" si="2"/>
        <v>647.04</v>
      </c>
      <c r="I182" s="1">
        <v>536387</v>
      </c>
      <c r="J182" s="1">
        <v>22780</v>
      </c>
      <c r="K182" s="1" t="s">
        <v>175</v>
      </c>
      <c r="L182" s="1">
        <v>192</v>
      </c>
      <c r="M182" s="2">
        <v>40513.415277777778</v>
      </c>
      <c r="N182" s="1">
        <v>3.37</v>
      </c>
      <c r="O182" s="1">
        <v>16029</v>
      </c>
      <c r="P182" s="1" t="s">
        <v>10</v>
      </c>
      <c r="Q182" s="1"/>
    </row>
    <row r="183" spans="7:17" x14ac:dyDescent="0.25">
      <c r="G183" s="1" t="str">
        <f>TEXT(Table1[[#This Row],[InvoiceDate]],"H AM/PM")</f>
        <v>9 AM</v>
      </c>
      <c r="H183" s="1">
        <f t="shared" si="2"/>
        <v>647.04</v>
      </c>
      <c r="I183" s="1">
        <v>536387</v>
      </c>
      <c r="J183" s="1">
        <v>22779</v>
      </c>
      <c r="K183" s="1" t="s">
        <v>176</v>
      </c>
      <c r="L183" s="1">
        <v>192</v>
      </c>
      <c r="M183" s="2">
        <v>40513.415277777778</v>
      </c>
      <c r="N183" s="1">
        <v>3.37</v>
      </c>
      <c r="O183" s="1">
        <v>16029</v>
      </c>
      <c r="P183" s="1" t="s">
        <v>10</v>
      </c>
      <c r="Q183" s="1"/>
    </row>
    <row r="184" spans="7:17" x14ac:dyDescent="0.25">
      <c r="G184" s="1" t="str">
        <f>TEXT(Table1[[#This Row],[InvoiceDate]],"H AM/PM")</f>
        <v>9 AM</v>
      </c>
      <c r="H184" s="1">
        <f t="shared" si="2"/>
        <v>626.4</v>
      </c>
      <c r="I184" s="1">
        <v>536387</v>
      </c>
      <c r="J184" s="1">
        <v>22466</v>
      </c>
      <c r="K184" s="1" t="s">
        <v>177</v>
      </c>
      <c r="L184" s="1">
        <v>432</v>
      </c>
      <c r="M184" s="2">
        <v>40513.415277777778</v>
      </c>
      <c r="N184" s="1">
        <v>1.45</v>
      </c>
      <c r="O184" s="1">
        <v>16029</v>
      </c>
      <c r="P184" s="1" t="s">
        <v>10</v>
      </c>
      <c r="Q184" s="1"/>
    </row>
    <row r="185" spans="7:17" x14ac:dyDescent="0.25">
      <c r="G185" s="1" t="str">
        <f>TEXT(Table1[[#This Row],[InvoiceDate]],"H AM/PM")</f>
        <v>9 AM</v>
      </c>
      <c r="H185" s="1">
        <f t="shared" si="2"/>
        <v>540</v>
      </c>
      <c r="I185" s="1">
        <v>536387</v>
      </c>
      <c r="J185" s="1">
        <v>21731</v>
      </c>
      <c r="K185" s="1" t="s">
        <v>53</v>
      </c>
      <c r="L185" s="1">
        <v>432</v>
      </c>
      <c r="M185" s="2">
        <v>40513.415277777778</v>
      </c>
      <c r="N185" s="1">
        <v>1.25</v>
      </c>
      <c r="O185" s="1">
        <v>16029</v>
      </c>
      <c r="P185" s="1" t="s">
        <v>10</v>
      </c>
      <c r="Q185" s="1"/>
    </row>
    <row r="186" spans="7:17" x14ac:dyDescent="0.25">
      <c r="G186" s="1" t="str">
        <f>TEXT(Table1[[#This Row],[InvoiceDate]],"H AM/PM")</f>
        <v>9 AM</v>
      </c>
      <c r="H186" s="1">
        <f t="shared" si="2"/>
        <v>17.850000000000001</v>
      </c>
      <c r="I186" s="1">
        <v>536388</v>
      </c>
      <c r="J186" s="1">
        <v>21754</v>
      </c>
      <c r="K186" s="1" t="s">
        <v>30</v>
      </c>
      <c r="L186" s="1">
        <v>3</v>
      </c>
      <c r="M186" s="2">
        <v>40513.415972222225</v>
      </c>
      <c r="N186" s="1">
        <v>5.95</v>
      </c>
      <c r="O186" s="1">
        <v>16250</v>
      </c>
      <c r="P186" s="1" t="s">
        <v>10</v>
      </c>
      <c r="Q186" s="1"/>
    </row>
    <row r="187" spans="7:17" x14ac:dyDescent="0.25">
      <c r="G187" s="1" t="str">
        <f>TEXT(Table1[[#This Row],[InvoiceDate]],"H AM/PM")</f>
        <v>9 AM</v>
      </c>
      <c r="H187" s="1">
        <f t="shared" si="2"/>
        <v>17.850000000000001</v>
      </c>
      <c r="I187" s="1">
        <v>536388</v>
      </c>
      <c r="J187" s="1">
        <v>21755</v>
      </c>
      <c r="K187" s="1" t="s">
        <v>31</v>
      </c>
      <c r="L187" s="1">
        <v>3</v>
      </c>
      <c r="M187" s="2">
        <v>40513.415972222225</v>
      </c>
      <c r="N187" s="1">
        <v>5.95</v>
      </c>
      <c r="O187" s="1">
        <v>16250</v>
      </c>
      <c r="P187" s="1" t="s">
        <v>10</v>
      </c>
      <c r="Q187" s="1"/>
    </row>
    <row r="188" spans="7:17" x14ac:dyDescent="0.25">
      <c r="G188" s="1" t="str">
        <f>TEXT(Table1[[#This Row],[InvoiceDate]],"H AM/PM")</f>
        <v>9 AM</v>
      </c>
      <c r="H188" s="1">
        <f t="shared" si="2"/>
        <v>15.9</v>
      </c>
      <c r="I188" s="1">
        <v>536388</v>
      </c>
      <c r="J188" s="1">
        <v>21523</v>
      </c>
      <c r="K188" s="1" t="s">
        <v>137</v>
      </c>
      <c r="L188" s="1">
        <v>2</v>
      </c>
      <c r="M188" s="2">
        <v>40513.415972222225</v>
      </c>
      <c r="N188" s="1">
        <v>7.95</v>
      </c>
      <c r="O188" s="1">
        <v>16250</v>
      </c>
      <c r="P188" s="1" t="s">
        <v>10</v>
      </c>
      <c r="Q188" s="1"/>
    </row>
    <row r="189" spans="7:17" x14ac:dyDescent="0.25">
      <c r="G189" s="1" t="str">
        <f>TEXT(Table1[[#This Row],[InvoiceDate]],"H AM/PM")</f>
        <v>9 AM</v>
      </c>
      <c r="H189" s="1">
        <f t="shared" si="2"/>
        <v>14.850000000000001</v>
      </c>
      <c r="I189" s="1">
        <v>536388</v>
      </c>
      <c r="J189" s="1">
        <v>21363</v>
      </c>
      <c r="K189" s="1" t="s">
        <v>178</v>
      </c>
      <c r="L189" s="1">
        <v>3</v>
      </c>
      <c r="M189" s="2">
        <v>40513.415972222225</v>
      </c>
      <c r="N189" s="1">
        <v>4.95</v>
      </c>
      <c r="O189" s="1">
        <v>16250</v>
      </c>
      <c r="P189" s="1" t="s">
        <v>10</v>
      </c>
      <c r="Q189" s="1"/>
    </row>
    <row r="190" spans="7:17" x14ac:dyDescent="0.25">
      <c r="G190" s="1" t="str">
        <f>TEXT(Table1[[#This Row],[InvoiceDate]],"H AM/PM")</f>
        <v>9 AM</v>
      </c>
      <c r="H190" s="1">
        <f t="shared" si="2"/>
        <v>12.75</v>
      </c>
      <c r="I190" s="1">
        <v>536388</v>
      </c>
      <c r="J190" s="1">
        <v>21411</v>
      </c>
      <c r="K190" s="1" t="s">
        <v>179</v>
      </c>
      <c r="L190" s="1">
        <v>3</v>
      </c>
      <c r="M190" s="2">
        <v>40513.415972222225</v>
      </c>
      <c r="N190" s="1">
        <v>4.25</v>
      </c>
      <c r="O190" s="1">
        <v>16250</v>
      </c>
      <c r="P190" s="1" t="s">
        <v>10</v>
      </c>
      <c r="Q190" s="1"/>
    </row>
    <row r="191" spans="7:17" x14ac:dyDescent="0.25">
      <c r="G191" s="1" t="str">
        <f>TEXT(Table1[[#This Row],[InvoiceDate]],"H AM/PM")</f>
        <v>9 AM</v>
      </c>
      <c r="H191" s="1">
        <f t="shared" si="2"/>
        <v>17.700000000000003</v>
      </c>
      <c r="I191" s="1">
        <v>536388</v>
      </c>
      <c r="J191" s="1">
        <v>22318</v>
      </c>
      <c r="K191" s="1" t="s">
        <v>180</v>
      </c>
      <c r="L191" s="1">
        <v>6</v>
      </c>
      <c r="M191" s="2">
        <v>40513.415972222225</v>
      </c>
      <c r="N191" s="1">
        <v>2.95</v>
      </c>
      <c r="O191" s="1">
        <v>16250</v>
      </c>
      <c r="P191" s="1" t="s">
        <v>10</v>
      </c>
      <c r="Q191" s="1"/>
    </row>
    <row r="192" spans="7:17" x14ac:dyDescent="0.25">
      <c r="G192" s="1" t="str">
        <f>TEXT(Table1[[#This Row],[InvoiceDate]],"H AM/PM")</f>
        <v>9 AM</v>
      </c>
      <c r="H192" s="1">
        <f t="shared" si="2"/>
        <v>19.799999999999997</v>
      </c>
      <c r="I192" s="1">
        <v>536388</v>
      </c>
      <c r="J192" s="1">
        <v>22464</v>
      </c>
      <c r="K192" s="1" t="s">
        <v>155</v>
      </c>
      <c r="L192" s="1">
        <v>12</v>
      </c>
      <c r="M192" s="2">
        <v>40513.415972222225</v>
      </c>
      <c r="N192" s="1">
        <v>1.65</v>
      </c>
      <c r="O192" s="1">
        <v>16250</v>
      </c>
      <c r="P192" s="1" t="s">
        <v>10</v>
      </c>
      <c r="Q192" s="1"/>
    </row>
    <row r="193" spans="7:17" x14ac:dyDescent="0.25">
      <c r="G193" s="1" t="str">
        <f>TEXT(Table1[[#This Row],[InvoiceDate]],"H AM/PM")</f>
        <v>9 AM</v>
      </c>
      <c r="H193" s="1">
        <f t="shared" si="2"/>
        <v>5.04</v>
      </c>
      <c r="I193" s="1">
        <v>536388</v>
      </c>
      <c r="J193" s="1">
        <v>22915</v>
      </c>
      <c r="K193" s="1" t="s">
        <v>181</v>
      </c>
      <c r="L193" s="1">
        <v>12</v>
      </c>
      <c r="M193" s="2">
        <v>40513.415972222225</v>
      </c>
      <c r="N193" s="1">
        <v>0.42</v>
      </c>
      <c r="O193" s="1">
        <v>16250</v>
      </c>
      <c r="P193" s="1" t="s">
        <v>10</v>
      </c>
      <c r="Q193" s="1"/>
    </row>
    <row r="194" spans="7:17" x14ac:dyDescent="0.25">
      <c r="G194" s="1" t="str">
        <f>TEXT(Table1[[#This Row],[InvoiceDate]],"H AM/PM")</f>
        <v>9 AM</v>
      </c>
      <c r="H194" s="1">
        <f t="shared" si="2"/>
        <v>10.199999999999999</v>
      </c>
      <c r="I194" s="1">
        <v>536388</v>
      </c>
      <c r="J194" s="1">
        <v>22922</v>
      </c>
      <c r="K194" s="1" t="s">
        <v>182</v>
      </c>
      <c r="L194" s="1">
        <v>12</v>
      </c>
      <c r="M194" s="2">
        <v>40513.415972222225</v>
      </c>
      <c r="N194" s="1">
        <v>0.85</v>
      </c>
      <c r="O194" s="1">
        <v>16250</v>
      </c>
      <c r="P194" s="1" t="s">
        <v>10</v>
      </c>
      <c r="Q194" s="1"/>
    </row>
    <row r="195" spans="7:17" x14ac:dyDescent="0.25">
      <c r="G195" s="1" t="str">
        <f>TEXT(Table1[[#This Row],[InvoiceDate]],"H AM/PM")</f>
        <v>9 AM</v>
      </c>
      <c r="H195" s="1">
        <f t="shared" ref="H195:H258" si="3">N195*L195</f>
        <v>17.399999999999999</v>
      </c>
      <c r="I195" s="1">
        <v>536388</v>
      </c>
      <c r="J195" s="1">
        <v>22969</v>
      </c>
      <c r="K195" s="1" t="s">
        <v>183</v>
      </c>
      <c r="L195" s="1">
        <v>12</v>
      </c>
      <c r="M195" s="2">
        <v>40513.415972222225</v>
      </c>
      <c r="N195" s="1">
        <v>1.45</v>
      </c>
      <c r="O195" s="1">
        <v>16250</v>
      </c>
      <c r="P195" s="1" t="s">
        <v>10</v>
      </c>
      <c r="Q195" s="1"/>
    </row>
    <row r="196" spans="7:17" x14ac:dyDescent="0.25">
      <c r="G196" s="1" t="str">
        <f>TEXT(Table1[[#This Row],[InvoiceDate]],"H AM/PM")</f>
        <v>9 AM</v>
      </c>
      <c r="H196" s="1">
        <f t="shared" si="3"/>
        <v>10.199999999999999</v>
      </c>
      <c r="I196" s="1">
        <v>536388</v>
      </c>
      <c r="J196" s="1">
        <v>22923</v>
      </c>
      <c r="K196" s="1" t="s">
        <v>184</v>
      </c>
      <c r="L196" s="1">
        <v>12</v>
      </c>
      <c r="M196" s="2">
        <v>40513.415972222225</v>
      </c>
      <c r="N196" s="1">
        <v>0.85</v>
      </c>
      <c r="O196" s="1">
        <v>16250</v>
      </c>
      <c r="P196" s="1" t="s">
        <v>10</v>
      </c>
      <c r="Q196" s="1"/>
    </row>
    <row r="197" spans="7:17" x14ac:dyDescent="0.25">
      <c r="G197" s="1" t="str">
        <f>TEXT(Table1[[#This Row],[InvoiceDate]],"H AM/PM")</f>
        <v>9 AM</v>
      </c>
      <c r="H197" s="1">
        <f t="shared" si="3"/>
        <v>27</v>
      </c>
      <c r="I197" s="1">
        <v>536388</v>
      </c>
      <c r="J197" s="1">
        <v>21115</v>
      </c>
      <c r="K197" s="1" t="s">
        <v>185</v>
      </c>
      <c r="L197" s="1">
        <v>4</v>
      </c>
      <c r="M197" s="2">
        <v>40513.415972222225</v>
      </c>
      <c r="N197" s="1">
        <v>6.75</v>
      </c>
      <c r="O197" s="1">
        <v>16250</v>
      </c>
      <c r="P197" s="1" t="s">
        <v>10</v>
      </c>
      <c r="Q197" s="1"/>
    </row>
    <row r="198" spans="7:17" x14ac:dyDescent="0.25">
      <c r="G198" s="1" t="str">
        <f>TEXT(Table1[[#This Row],[InvoiceDate]],"H AM/PM")</f>
        <v>9 AM</v>
      </c>
      <c r="H198" s="1">
        <f t="shared" si="3"/>
        <v>19.799999999999997</v>
      </c>
      <c r="I198" s="1">
        <v>536388</v>
      </c>
      <c r="J198" s="1">
        <v>22469</v>
      </c>
      <c r="K198" s="1" t="s">
        <v>158</v>
      </c>
      <c r="L198" s="1">
        <v>12</v>
      </c>
      <c r="M198" s="2">
        <v>40513.415972222225</v>
      </c>
      <c r="N198" s="1">
        <v>1.65</v>
      </c>
      <c r="O198" s="1">
        <v>16250</v>
      </c>
      <c r="P198" s="1" t="s">
        <v>10</v>
      </c>
      <c r="Q198" s="1"/>
    </row>
    <row r="199" spans="7:17" x14ac:dyDescent="0.25">
      <c r="G199" s="1" t="str">
        <f>TEXT(Table1[[#This Row],[InvoiceDate]],"H AM/PM")</f>
        <v>9 AM</v>
      </c>
      <c r="H199" s="1">
        <f t="shared" si="3"/>
        <v>19.799999999999997</v>
      </c>
      <c r="I199" s="1">
        <v>536388</v>
      </c>
      <c r="J199" s="1">
        <v>22242</v>
      </c>
      <c r="K199" s="1" t="s">
        <v>186</v>
      </c>
      <c r="L199" s="1">
        <v>12</v>
      </c>
      <c r="M199" s="2">
        <v>40513.415972222225</v>
      </c>
      <c r="N199" s="1">
        <v>1.65</v>
      </c>
      <c r="O199" s="1">
        <v>16250</v>
      </c>
      <c r="P199" s="1" t="s">
        <v>10</v>
      </c>
      <c r="Q199" s="1"/>
    </row>
    <row r="200" spans="7:17" x14ac:dyDescent="0.25">
      <c r="G200" s="1" t="str">
        <f>TEXT(Table1[[#This Row],[InvoiceDate]],"H AM/PM")</f>
        <v>10 AM</v>
      </c>
      <c r="H200" s="1">
        <f t="shared" si="3"/>
        <v>51</v>
      </c>
      <c r="I200" s="1">
        <v>536389</v>
      </c>
      <c r="J200" s="1">
        <v>22941</v>
      </c>
      <c r="K200" s="1" t="s">
        <v>187</v>
      </c>
      <c r="L200" s="1">
        <v>6</v>
      </c>
      <c r="M200" s="2">
        <v>40513.418749999997</v>
      </c>
      <c r="N200" s="1">
        <v>8.5</v>
      </c>
      <c r="O200" s="1">
        <v>12431</v>
      </c>
      <c r="P200" s="1" t="s">
        <v>188</v>
      </c>
      <c r="Q200" s="1"/>
    </row>
    <row r="201" spans="7:17" x14ac:dyDescent="0.25">
      <c r="G201" s="1" t="str">
        <f>TEXT(Table1[[#This Row],[InvoiceDate]],"H AM/PM")</f>
        <v>10 AM</v>
      </c>
      <c r="H201" s="1">
        <f t="shared" si="3"/>
        <v>39.6</v>
      </c>
      <c r="I201" s="1">
        <v>536389</v>
      </c>
      <c r="J201" s="1">
        <v>21622</v>
      </c>
      <c r="K201" s="1" t="s">
        <v>189</v>
      </c>
      <c r="L201" s="1">
        <v>8</v>
      </c>
      <c r="M201" s="2">
        <v>40513.418749999997</v>
      </c>
      <c r="N201" s="1">
        <v>4.95</v>
      </c>
      <c r="O201" s="1">
        <v>12431</v>
      </c>
      <c r="P201" s="1" t="s">
        <v>188</v>
      </c>
      <c r="Q201" s="1"/>
    </row>
    <row r="202" spans="7:17" x14ac:dyDescent="0.25">
      <c r="G202" s="1" t="str">
        <f>TEXT(Table1[[#This Row],[InvoiceDate]],"H AM/PM")</f>
        <v>10 AM</v>
      </c>
      <c r="H202" s="1">
        <f t="shared" si="3"/>
        <v>15</v>
      </c>
      <c r="I202" s="1">
        <v>536389</v>
      </c>
      <c r="J202" s="1">
        <v>21791</v>
      </c>
      <c r="K202" s="1" t="s">
        <v>46</v>
      </c>
      <c r="L202" s="1">
        <v>12</v>
      </c>
      <c r="M202" s="2">
        <v>40513.418749999997</v>
      </c>
      <c r="N202" s="1">
        <v>1.25</v>
      </c>
      <c r="O202" s="1">
        <v>12431</v>
      </c>
      <c r="P202" s="1" t="s">
        <v>188</v>
      </c>
      <c r="Q202" s="1"/>
    </row>
    <row r="203" spans="7:17" x14ac:dyDescent="0.25">
      <c r="G203" s="1" t="str">
        <f>TEXT(Table1[[#This Row],[InvoiceDate]],"H AM/PM")</f>
        <v>10 AM</v>
      </c>
      <c r="H203" s="1">
        <f t="shared" si="3"/>
        <v>32.700000000000003</v>
      </c>
      <c r="I203" s="1">
        <v>536389</v>
      </c>
      <c r="J203" s="1" t="s">
        <v>151</v>
      </c>
      <c r="K203" s="1" t="s">
        <v>152</v>
      </c>
      <c r="L203" s="1">
        <v>6</v>
      </c>
      <c r="M203" s="2">
        <v>40513.418749999997</v>
      </c>
      <c r="N203" s="1">
        <v>5.45</v>
      </c>
      <c r="O203" s="1">
        <v>12431</v>
      </c>
      <c r="P203" s="1" t="s">
        <v>188</v>
      </c>
      <c r="Q203" s="1"/>
    </row>
    <row r="204" spans="7:17" x14ac:dyDescent="0.25">
      <c r="G204" s="1" t="str">
        <f>TEXT(Table1[[#This Row],[InvoiceDate]],"H AM/PM")</f>
        <v>10 AM</v>
      </c>
      <c r="H204" s="1">
        <f t="shared" si="3"/>
        <v>25.4</v>
      </c>
      <c r="I204" s="1">
        <v>536389</v>
      </c>
      <c r="J204" s="1" t="s">
        <v>190</v>
      </c>
      <c r="K204" s="1" t="s">
        <v>191</v>
      </c>
      <c r="L204" s="1">
        <v>4</v>
      </c>
      <c r="M204" s="2">
        <v>40513.418749999997</v>
      </c>
      <c r="N204" s="1">
        <v>6.35</v>
      </c>
      <c r="O204" s="1">
        <v>12431</v>
      </c>
      <c r="P204" s="1" t="s">
        <v>188</v>
      </c>
      <c r="Q204" s="1"/>
    </row>
    <row r="205" spans="7:17" x14ac:dyDescent="0.25">
      <c r="G205" s="1" t="str">
        <f>TEXT(Table1[[#This Row],[InvoiceDate]],"H AM/PM")</f>
        <v>10 AM</v>
      </c>
      <c r="H205" s="1">
        <f t="shared" si="3"/>
        <v>35.700000000000003</v>
      </c>
      <c r="I205" s="1">
        <v>536389</v>
      </c>
      <c r="J205" s="1" t="s">
        <v>192</v>
      </c>
      <c r="K205" s="1" t="s">
        <v>193</v>
      </c>
      <c r="L205" s="1">
        <v>6</v>
      </c>
      <c r="M205" s="2">
        <v>40513.418749999997</v>
      </c>
      <c r="N205" s="1">
        <v>5.95</v>
      </c>
      <c r="O205" s="1">
        <v>12431</v>
      </c>
      <c r="P205" s="1" t="s">
        <v>188</v>
      </c>
      <c r="Q205" s="1"/>
    </row>
    <row r="206" spans="7:17" x14ac:dyDescent="0.25">
      <c r="G206" s="1" t="str">
        <f>TEXT(Table1[[#This Row],[InvoiceDate]],"H AM/PM")</f>
        <v>10 AM</v>
      </c>
      <c r="H206" s="1">
        <f t="shared" si="3"/>
        <v>17.850000000000001</v>
      </c>
      <c r="I206" s="1">
        <v>536389</v>
      </c>
      <c r="J206" s="1" t="s">
        <v>194</v>
      </c>
      <c r="K206" s="1" t="s">
        <v>195</v>
      </c>
      <c r="L206" s="1">
        <v>3</v>
      </c>
      <c r="M206" s="2">
        <v>40513.418749999997</v>
      </c>
      <c r="N206" s="1">
        <v>5.95</v>
      </c>
      <c r="O206" s="1">
        <v>12431</v>
      </c>
      <c r="P206" s="1" t="s">
        <v>188</v>
      </c>
      <c r="Q206" s="1"/>
    </row>
    <row r="207" spans="7:17" x14ac:dyDescent="0.25">
      <c r="G207" s="1" t="str">
        <f>TEXT(Table1[[#This Row],[InvoiceDate]],"H AM/PM")</f>
        <v>10 AM</v>
      </c>
      <c r="H207" s="1">
        <f t="shared" si="3"/>
        <v>17</v>
      </c>
      <c r="I207" s="1">
        <v>536389</v>
      </c>
      <c r="J207" s="1">
        <v>22193</v>
      </c>
      <c r="K207" s="1" t="s">
        <v>196</v>
      </c>
      <c r="L207" s="1">
        <v>2</v>
      </c>
      <c r="M207" s="2">
        <v>40513.418749999997</v>
      </c>
      <c r="N207" s="1">
        <v>8.5</v>
      </c>
      <c r="O207" s="1">
        <v>12431</v>
      </c>
      <c r="P207" s="1" t="s">
        <v>188</v>
      </c>
      <c r="Q207" s="1"/>
    </row>
    <row r="208" spans="7:17" x14ac:dyDescent="0.25">
      <c r="G208" s="1" t="str">
        <f>TEXT(Table1[[#This Row],[InvoiceDate]],"H AM/PM")</f>
        <v>10 AM</v>
      </c>
      <c r="H208" s="1">
        <f t="shared" si="3"/>
        <v>15</v>
      </c>
      <c r="I208" s="1">
        <v>536389</v>
      </c>
      <c r="J208" s="1">
        <v>22726</v>
      </c>
      <c r="K208" s="1" t="s">
        <v>42</v>
      </c>
      <c r="L208" s="1">
        <v>4</v>
      </c>
      <c r="M208" s="2">
        <v>40513.418749999997</v>
      </c>
      <c r="N208" s="1">
        <v>3.75</v>
      </c>
      <c r="O208" s="1">
        <v>12431</v>
      </c>
      <c r="P208" s="1" t="s">
        <v>188</v>
      </c>
      <c r="Q208" s="1"/>
    </row>
    <row r="209" spans="7:17" x14ac:dyDescent="0.25">
      <c r="G209" s="1" t="str">
        <f>TEXT(Table1[[#This Row],[InvoiceDate]],"H AM/PM")</f>
        <v>10 AM</v>
      </c>
      <c r="H209" s="1">
        <f t="shared" si="3"/>
        <v>15</v>
      </c>
      <c r="I209" s="1">
        <v>536389</v>
      </c>
      <c r="J209" s="1">
        <v>22727</v>
      </c>
      <c r="K209" s="1" t="s">
        <v>41</v>
      </c>
      <c r="L209" s="1">
        <v>4</v>
      </c>
      <c r="M209" s="2">
        <v>40513.418749999997</v>
      </c>
      <c r="N209" s="1">
        <v>3.75</v>
      </c>
      <c r="O209" s="1">
        <v>12431</v>
      </c>
      <c r="P209" s="1" t="s">
        <v>188</v>
      </c>
      <c r="Q209" s="1"/>
    </row>
    <row r="210" spans="7:17" x14ac:dyDescent="0.25">
      <c r="G210" s="1" t="str">
        <f>TEXT(Table1[[#This Row],[InvoiceDate]],"H AM/PM")</f>
        <v>10 AM</v>
      </c>
      <c r="H210" s="1">
        <f t="shared" si="3"/>
        <v>17</v>
      </c>
      <c r="I210" s="1">
        <v>536389</v>
      </c>
      <c r="J210" s="1">
        <v>22192</v>
      </c>
      <c r="K210" s="1" t="s">
        <v>197</v>
      </c>
      <c r="L210" s="1">
        <v>2</v>
      </c>
      <c r="M210" s="2">
        <v>40513.418749999997</v>
      </c>
      <c r="N210" s="1">
        <v>8.5</v>
      </c>
      <c r="O210" s="1">
        <v>12431</v>
      </c>
      <c r="P210" s="1" t="s">
        <v>188</v>
      </c>
      <c r="Q210" s="1"/>
    </row>
    <row r="211" spans="7:17" x14ac:dyDescent="0.25">
      <c r="G211" s="1" t="str">
        <f>TEXT(Table1[[#This Row],[InvoiceDate]],"H AM/PM")</f>
        <v>10 AM</v>
      </c>
      <c r="H211" s="1">
        <f t="shared" si="3"/>
        <v>17</v>
      </c>
      <c r="I211" s="1">
        <v>536389</v>
      </c>
      <c r="J211" s="1">
        <v>22191</v>
      </c>
      <c r="K211" s="1" t="s">
        <v>198</v>
      </c>
      <c r="L211" s="1">
        <v>2</v>
      </c>
      <c r="M211" s="2">
        <v>40513.418749999997</v>
      </c>
      <c r="N211" s="1">
        <v>8.5</v>
      </c>
      <c r="O211" s="1">
        <v>12431</v>
      </c>
      <c r="P211" s="1" t="s">
        <v>188</v>
      </c>
      <c r="Q211" s="1"/>
    </row>
    <row r="212" spans="7:17" x14ac:dyDescent="0.25">
      <c r="G212" s="1" t="str">
        <f>TEXT(Table1[[#This Row],[InvoiceDate]],"H AM/PM")</f>
        <v>10 AM</v>
      </c>
      <c r="H212" s="1">
        <f t="shared" si="3"/>
        <v>39.599999999999994</v>
      </c>
      <c r="I212" s="1">
        <v>536389</v>
      </c>
      <c r="J212" s="1">
        <v>22195</v>
      </c>
      <c r="K212" s="1" t="s">
        <v>199</v>
      </c>
      <c r="L212" s="1">
        <v>24</v>
      </c>
      <c r="M212" s="2">
        <v>40513.418749999997</v>
      </c>
      <c r="N212" s="1">
        <v>1.65</v>
      </c>
      <c r="O212" s="1">
        <v>12431</v>
      </c>
      <c r="P212" s="1" t="s">
        <v>188</v>
      </c>
      <c r="Q212" s="1"/>
    </row>
    <row r="213" spans="7:17" x14ac:dyDescent="0.25">
      <c r="G213" s="1" t="str">
        <f>TEXT(Table1[[#This Row],[InvoiceDate]],"H AM/PM")</f>
        <v>10 AM</v>
      </c>
      <c r="H213" s="1">
        <f t="shared" si="3"/>
        <v>20.399999999999999</v>
      </c>
      <c r="I213" s="1">
        <v>536389</v>
      </c>
      <c r="J213" s="1">
        <v>22196</v>
      </c>
      <c r="K213" s="1" t="s">
        <v>200</v>
      </c>
      <c r="L213" s="1">
        <v>24</v>
      </c>
      <c r="M213" s="2">
        <v>40513.418749999997</v>
      </c>
      <c r="N213" s="1">
        <v>0.85</v>
      </c>
      <c r="O213" s="1">
        <v>12431</v>
      </c>
      <c r="P213" s="1" t="s">
        <v>188</v>
      </c>
      <c r="Q213" s="1"/>
    </row>
    <row r="214" spans="7:17" x14ac:dyDescent="0.25">
      <c r="G214" s="1" t="str">
        <f>TEXT(Table1[[#This Row],[InvoiceDate]],"H AM/PM")</f>
        <v>10 AM</v>
      </c>
      <c r="H214" s="1">
        <f t="shared" si="3"/>
        <v>17</v>
      </c>
      <c r="I214" s="1">
        <v>536390</v>
      </c>
      <c r="J214" s="1">
        <v>22941</v>
      </c>
      <c r="K214" s="1" t="s">
        <v>187</v>
      </c>
      <c r="L214" s="1">
        <v>2</v>
      </c>
      <c r="M214" s="2">
        <v>40513.429861111108</v>
      </c>
      <c r="N214" s="1">
        <v>8.5</v>
      </c>
      <c r="O214" s="1">
        <v>17511</v>
      </c>
      <c r="P214" s="1" t="s">
        <v>10</v>
      </c>
      <c r="Q214" s="1"/>
    </row>
    <row r="215" spans="7:17" x14ac:dyDescent="0.25">
      <c r="G215" s="1" t="str">
        <f>TEXT(Table1[[#This Row],[InvoiceDate]],"H AM/PM")</f>
        <v>10 AM</v>
      </c>
      <c r="H215" s="1">
        <f t="shared" si="3"/>
        <v>45</v>
      </c>
      <c r="I215" s="1">
        <v>536390</v>
      </c>
      <c r="J215" s="1">
        <v>22960</v>
      </c>
      <c r="K215" s="1" t="s">
        <v>34</v>
      </c>
      <c r="L215" s="1">
        <v>12</v>
      </c>
      <c r="M215" s="2">
        <v>40513.429861111108</v>
      </c>
      <c r="N215" s="1">
        <v>3.75</v>
      </c>
      <c r="O215" s="1">
        <v>17511</v>
      </c>
      <c r="P215" s="1" t="s">
        <v>10</v>
      </c>
      <c r="Q215" s="1"/>
    </row>
    <row r="216" spans="7:17" x14ac:dyDescent="0.25">
      <c r="G216" s="1" t="str">
        <f>TEXT(Table1[[#This Row],[InvoiceDate]],"H AM/PM")</f>
        <v>10 AM</v>
      </c>
      <c r="H216" s="1">
        <f t="shared" si="3"/>
        <v>17.399999999999999</v>
      </c>
      <c r="I216" s="1">
        <v>536390</v>
      </c>
      <c r="J216" s="1">
        <v>22961</v>
      </c>
      <c r="K216" s="1" t="s">
        <v>100</v>
      </c>
      <c r="L216" s="1">
        <v>12</v>
      </c>
      <c r="M216" s="2">
        <v>40513.429861111108</v>
      </c>
      <c r="N216" s="1">
        <v>1.45</v>
      </c>
      <c r="O216" s="1">
        <v>17511</v>
      </c>
      <c r="P216" s="1" t="s">
        <v>10</v>
      </c>
      <c r="Q216" s="1"/>
    </row>
    <row r="217" spans="7:17" x14ac:dyDescent="0.25">
      <c r="G217" s="1" t="str">
        <f>TEXT(Table1[[#This Row],[InvoiceDate]],"H AM/PM")</f>
        <v>10 AM</v>
      </c>
      <c r="H217" s="1">
        <f t="shared" si="3"/>
        <v>34.56</v>
      </c>
      <c r="I217" s="1">
        <v>536390</v>
      </c>
      <c r="J217" s="1">
        <v>22962</v>
      </c>
      <c r="K217" s="1" t="s">
        <v>201</v>
      </c>
      <c r="L217" s="1">
        <v>48</v>
      </c>
      <c r="M217" s="2">
        <v>40513.429861111108</v>
      </c>
      <c r="N217" s="1">
        <v>0.72</v>
      </c>
      <c r="O217" s="1">
        <v>17511</v>
      </c>
      <c r="P217" s="1" t="s">
        <v>10</v>
      </c>
      <c r="Q217" s="1"/>
    </row>
    <row r="218" spans="7:17" x14ac:dyDescent="0.25">
      <c r="G218" s="1" t="str">
        <f>TEXT(Table1[[#This Row],[InvoiceDate]],"H AM/PM")</f>
        <v>10 AM</v>
      </c>
      <c r="H218" s="1">
        <f t="shared" si="3"/>
        <v>34.56</v>
      </c>
      <c r="I218" s="1">
        <v>536390</v>
      </c>
      <c r="J218" s="1">
        <v>22963</v>
      </c>
      <c r="K218" s="1" t="s">
        <v>202</v>
      </c>
      <c r="L218" s="1">
        <v>48</v>
      </c>
      <c r="M218" s="2">
        <v>40513.429861111108</v>
      </c>
      <c r="N218" s="1">
        <v>0.72</v>
      </c>
      <c r="O218" s="1">
        <v>17511</v>
      </c>
      <c r="P218" s="1" t="s">
        <v>10</v>
      </c>
      <c r="Q218" s="1"/>
    </row>
    <row r="219" spans="7:17" x14ac:dyDescent="0.25">
      <c r="G219" s="1" t="str">
        <f>TEXT(Table1[[#This Row],[InvoiceDate]],"H AM/PM")</f>
        <v>10 AM</v>
      </c>
      <c r="H219" s="1">
        <f t="shared" si="3"/>
        <v>68</v>
      </c>
      <c r="I219" s="1">
        <v>536390</v>
      </c>
      <c r="J219" s="1">
        <v>22968</v>
      </c>
      <c r="K219" s="1" t="s">
        <v>203</v>
      </c>
      <c r="L219" s="1">
        <v>8</v>
      </c>
      <c r="M219" s="2">
        <v>40513.429861111108</v>
      </c>
      <c r="N219" s="1">
        <v>8.5</v>
      </c>
      <c r="O219" s="1">
        <v>17511</v>
      </c>
      <c r="P219" s="1" t="s">
        <v>10</v>
      </c>
      <c r="Q219" s="1"/>
    </row>
    <row r="220" spans="7:17" x14ac:dyDescent="0.25">
      <c r="G220" s="1" t="str">
        <f>TEXT(Table1[[#This Row],[InvoiceDate]],"H AM/PM")</f>
        <v>10 AM</v>
      </c>
      <c r="H220" s="1">
        <f t="shared" si="3"/>
        <v>92.16</v>
      </c>
      <c r="I220" s="1">
        <v>536390</v>
      </c>
      <c r="J220" s="1" t="s">
        <v>204</v>
      </c>
      <c r="K220" s="1" t="s">
        <v>205</v>
      </c>
      <c r="L220" s="1">
        <v>144</v>
      </c>
      <c r="M220" s="2">
        <v>40513.429861111108</v>
      </c>
      <c r="N220" s="1">
        <v>0.64</v>
      </c>
      <c r="O220" s="1">
        <v>17511</v>
      </c>
      <c r="P220" s="1" t="s">
        <v>10</v>
      </c>
      <c r="Q220" s="1"/>
    </row>
    <row r="221" spans="7:17" x14ac:dyDescent="0.25">
      <c r="G221" s="1" t="str">
        <f>TEXT(Table1[[#This Row],[InvoiceDate]],"H AM/PM")</f>
        <v>10 AM</v>
      </c>
      <c r="H221" s="1">
        <f t="shared" si="3"/>
        <v>102</v>
      </c>
      <c r="I221" s="1">
        <v>536390</v>
      </c>
      <c r="J221" s="1">
        <v>22910</v>
      </c>
      <c r="K221" s="1" t="s">
        <v>206</v>
      </c>
      <c r="L221" s="1">
        <v>40</v>
      </c>
      <c r="M221" s="2">
        <v>40513.429861111108</v>
      </c>
      <c r="N221" s="1">
        <v>2.5499999999999998</v>
      </c>
      <c r="O221" s="1">
        <v>17511</v>
      </c>
      <c r="P221" s="1" t="s">
        <v>10</v>
      </c>
      <c r="Q221" s="1"/>
    </row>
    <row r="222" spans="7:17" x14ac:dyDescent="0.25">
      <c r="G222" s="1" t="str">
        <f>TEXT(Table1[[#This Row],[InvoiceDate]],"H AM/PM")</f>
        <v>10 AM</v>
      </c>
      <c r="H222" s="1">
        <f t="shared" si="3"/>
        <v>28.8</v>
      </c>
      <c r="I222" s="1">
        <v>536390</v>
      </c>
      <c r="J222" s="1">
        <v>20668</v>
      </c>
      <c r="K222" s="1" t="s">
        <v>207</v>
      </c>
      <c r="L222" s="1">
        <v>288</v>
      </c>
      <c r="M222" s="2">
        <v>40513.429861111108</v>
      </c>
      <c r="N222" s="1">
        <v>0.1</v>
      </c>
      <c r="O222" s="1">
        <v>17511</v>
      </c>
      <c r="P222" s="1" t="s">
        <v>10</v>
      </c>
      <c r="Q222" s="1"/>
    </row>
    <row r="223" spans="7:17" x14ac:dyDescent="0.25">
      <c r="G223" s="1" t="str">
        <f>TEXT(Table1[[#This Row],[InvoiceDate]],"H AM/PM")</f>
        <v>10 AM</v>
      </c>
      <c r="H223" s="1">
        <f t="shared" si="3"/>
        <v>163.19999999999999</v>
      </c>
      <c r="I223" s="1">
        <v>536390</v>
      </c>
      <c r="J223" s="1" t="s">
        <v>8</v>
      </c>
      <c r="K223" s="1" t="s">
        <v>9</v>
      </c>
      <c r="L223" s="1">
        <v>64</v>
      </c>
      <c r="M223" s="2">
        <v>40513.429861111108</v>
      </c>
      <c r="N223" s="1">
        <v>2.5499999999999998</v>
      </c>
      <c r="O223" s="1">
        <v>17511</v>
      </c>
      <c r="P223" s="1" t="s">
        <v>10</v>
      </c>
      <c r="Q223" s="1"/>
    </row>
    <row r="224" spans="7:17" x14ac:dyDescent="0.25">
      <c r="G224" s="1" t="str">
        <f>TEXT(Table1[[#This Row],[InvoiceDate]],"H AM/PM")</f>
        <v>10 AM</v>
      </c>
      <c r="H224" s="1">
        <f t="shared" si="3"/>
        <v>72</v>
      </c>
      <c r="I224" s="1">
        <v>536390</v>
      </c>
      <c r="J224" s="1">
        <v>22197</v>
      </c>
      <c r="K224" s="1" t="s">
        <v>208</v>
      </c>
      <c r="L224" s="1">
        <v>100</v>
      </c>
      <c r="M224" s="2">
        <v>40513.429861111108</v>
      </c>
      <c r="N224" s="1">
        <v>0.72</v>
      </c>
      <c r="O224" s="1">
        <v>17511</v>
      </c>
      <c r="P224" s="1" t="s">
        <v>10</v>
      </c>
      <c r="Q224" s="1"/>
    </row>
    <row r="225" spans="7:17" x14ac:dyDescent="0.25">
      <c r="G225" s="1" t="str">
        <f>TEXT(Table1[[#This Row],[InvoiceDate]],"H AM/PM")</f>
        <v>10 AM</v>
      </c>
      <c r="H225" s="1">
        <f t="shared" si="3"/>
        <v>72.5</v>
      </c>
      <c r="I225" s="1">
        <v>536390</v>
      </c>
      <c r="J225" s="1">
        <v>22198</v>
      </c>
      <c r="K225" s="1" t="s">
        <v>209</v>
      </c>
      <c r="L225" s="1">
        <v>50</v>
      </c>
      <c r="M225" s="2">
        <v>40513.429861111108</v>
      </c>
      <c r="N225" s="1">
        <v>1.45</v>
      </c>
      <c r="O225" s="1">
        <v>17511</v>
      </c>
      <c r="P225" s="1" t="s">
        <v>10</v>
      </c>
      <c r="Q225" s="1"/>
    </row>
    <row r="226" spans="7:17" x14ac:dyDescent="0.25">
      <c r="G226" s="1" t="str">
        <f>TEXT(Table1[[#This Row],[InvoiceDate]],"H AM/PM")</f>
        <v>10 AM</v>
      </c>
      <c r="H226" s="1">
        <f t="shared" si="3"/>
        <v>51</v>
      </c>
      <c r="I226" s="1">
        <v>536390</v>
      </c>
      <c r="J226" s="1">
        <v>21533</v>
      </c>
      <c r="K226" s="1" t="s">
        <v>126</v>
      </c>
      <c r="L226" s="1">
        <v>12</v>
      </c>
      <c r="M226" s="2">
        <v>40513.429861111108</v>
      </c>
      <c r="N226" s="1">
        <v>4.25</v>
      </c>
      <c r="O226" s="1">
        <v>17511</v>
      </c>
      <c r="P226" s="1" t="s">
        <v>10</v>
      </c>
      <c r="Q226" s="1"/>
    </row>
    <row r="227" spans="7:17" x14ac:dyDescent="0.25">
      <c r="G227" s="1" t="str">
        <f>TEXT(Table1[[#This Row],[InvoiceDate]],"H AM/PM")</f>
        <v>10 AM</v>
      </c>
      <c r="H227" s="1">
        <f t="shared" si="3"/>
        <v>61.44</v>
      </c>
      <c r="I227" s="1">
        <v>536390</v>
      </c>
      <c r="J227" s="1">
        <v>21080</v>
      </c>
      <c r="K227" s="1" t="s">
        <v>210</v>
      </c>
      <c r="L227" s="1">
        <v>96</v>
      </c>
      <c r="M227" s="2">
        <v>40513.429861111108</v>
      </c>
      <c r="N227" s="1">
        <v>0.64</v>
      </c>
      <c r="O227" s="1">
        <v>17511</v>
      </c>
      <c r="P227" s="1" t="s">
        <v>10</v>
      </c>
      <c r="Q227" s="1"/>
    </row>
    <row r="228" spans="7:17" x14ac:dyDescent="0.25">
      <c r="G228" s="1" t="str">
        <f>TEXT(Table1[[#This Row],[InvoiceDate]],"H AM/PM")</f>
        <v>10 AM</v>
      </c>
      <c r="H228" s="1">
        <f t="shared" si="3"/>
        <v>61.44</v>
      </c>
      <c r="I228" s="1">
        <v>536390</v>
      </c>
      <c r="J228" s="1">
        <v>21094</v>
      </c>
      <c r="K228" s="1" t="s">
        <v>84</v>
      </c>
      <c r="L228" s="1">
        <v>96</v>
      </c>
      <c r="M228" s="2">
        <v>40513.429861111108</v>
      </c>
      <c r="N228" s="1">
        <v>0.64</v>
      </c>
      <c r="O228" s="1">
        <v>17511</v>
      </c>
      <c r="P228" s="1" t="s">
        <v>10</v>
      </c>
      <c r="Q228" s="1"/>
    </row>
    <row r="229" spans="7:17" x14ac:dyDescent="0.25">
      <c r="G229" s="1" t="str">
        <f>TEXT(Table1[[#This Row],[InvoiceDate]],"H AM/PM")</f>
        <v>10 AM</v>
      </c>
      <c r="H229" s="1">
        <f t="shared" si="3"/>
        <v>31.200000000000003</v>
      </c>
      <c r="I229" s="1">
        <v>536390</v>
      </c>
      <c r="J229" s="1">
        <v>21086</v>
      </c>
      <c r="K229" s="1" t="s">
        <v>211</v>
      </c>
      <c r="L229" s="1">
        <v>48</v>
      </c>
      <c r="M229" s="2">
        <v>40513.429861111108</v>
      </c>
      <c r="N229" s="1">
        <v>0.65</v>
      </c>
      <c r="O229" s="1">
        <v>17511</v>
      </c>
      <c r="P229" s="1" t="s">
        <v>10</v>
      </c>
      <c r="Q229" s="1"/>
    </row>
    <row r="230" spans="7:17" x14ac:dyDescent="0.25">
      <c r="G230" s="1" t="str">
        <f>TEXT(Table1[[#This Row],[InvoiceDate]],"H AM/PM")</f>
        <v>10 AM</v>
      </c>
      <c r="H230" s="1">
        <f t="shared" si="3"/>
        <v>46.08</v>
      </c>
      <c r="I230" s="1">
        <v>536390</v>
      </c>
      <c r="J230" s="1">
        <v>21786</v>
      </c>
      <c r="K230" s="1" t="s">
        <v>212</v>
      </c>
      <c r="L230" s="1">
        <v>144</v>
      </c>
      <c r="M230" s="2">
        <v>40513.429861111108</v>
      </c>
      <c r="N230" s="1">
        <v>0.32</v>
      </c>
      <c r="O230" s="1">
        <v>17511</v>
      </c>
      <c r="P230" s="1" t="s">
        <v>10</v>
      </c>
      <c r="Q230" s="1"/>
    </row>
    <row r="231" spans="7:17" x14ac:dyDescent="0.25">
      <c r="G231" s="1" t="str">
        <f>TEXT(Table1[[#This Row],[InvoiceDate]],"H AM/PM")</f>
        <v>10 AM</v>
      </c>
      <c r="H231" s="1">
        <f t="shared" si="3"/>
        <v>198</v>
      </c>
      <c r="I231" s="1">
        <v>536390</v>
      </c>
      <c r="J231" s="1">
        <v>22654</v>
      </c>
      <c r="K231" s="1" t="s">
        <v>213</v>
      </c>
      <c r="L231" s="1">
        <v>40</v>
      </c>
      <c r="M231" s="2">
        <v>40513.429861111108</v>
      </c>
      <c r="N231" s="1">
        <v>4.95</v>
      </c>
      <c r="O231" s="1">
        <v>17511</v>
      </c>
      <c r="P231" s="1" t="s">
        <v>10</v>
      </c>
      <c r="Q231" s="1"/>
    </row>
    <row r="232" spans="7:17" x14ac:dyDescent="0.25">
      <c r="G232" s="1" t="str">
        <f>TEXT(Table1[[#This Row],[InvoiceDate]],"H AM/PM")</f>
        <v>10 AM</v>
      </c>
      <c r="H232" s="1">
        <f t="shared" si="3"/>
        <v>102</v>
      </c>
      <c r="I232" s="1">
        <v>536390</v>
      </c>
      <c r="J232" s="1">
        <v>21485</v>
      </c>
      <c r="K232" s="1" t="s">
        <v>214</v>
      </c>
      <c r="L232" s="1">
        <v>24</v>
      </c>
      <c r="M232" s="2">
        <v>40513.429861111108</v>
      </c>
      <c r="N232" s="1">
        <v>4.25</v>
      </c>
      <c r="O232" s="1">
        <v>17511</v>
      </c>
      <c r="P232" s="1" t="s">
        <v>10</v>
      </c>
      <c r="Q232" s="1"/>
    </row>
    <row r="233" spans="7:17" x14ac:dyDescent="0.25">
      <c r="G233" s="1" t="str">
        <f>TEXT(Table1[[#This Row],[InvoiceDate]],"H AM/PM")</f>
        <v>10 AM</v>
      </c>
      <c r="H233" s="1">
        <f t="shared" si="3"/>
        <v>81.36</v>
      </c>
      <c r="I233" s="1">
        <v>536390</v>
      </c>
      <c r="J233" s="1" t="s">
        <v>14</v>
      </c>
      <c r="K233" s="1" t="s">
        <v>15</v>
      </c>
      <c r="L233" s="1">
        <v>24</v>
      </c>
      <c r="M233" s="2">
        <v>40513.429861111108</v>
      </c>
      <c r="N233" s="1">
        <v>3.39</v>
      </c>
      <c r="O233" s="1">
        <v>17511</v>
      </c>
      <c r="P233" s="1" t="s">
        <v>10</v>
      </c>
      <c r="Q233" s="1"/>
    </row>
    <row r="234" spans="7:17" x14ac:dyDescent="0.25">
      <c r="G234" s="1" t="str">
        <f>TEXT(Table1[[#This Row],[InvoiceDate]],"H AM/PM")</f>
        <v>10 AM</v>
      </c>
      <c r="H234" s="1">
        <f t="shared" si="3"/>
        <v>90</v>
      </c>
      <c r="I234" s="1">
        <v>536390</v>
      </c>
      <c r="J234" s="1" t="s">
        <v>215</v>
      </c>
      <c r="K234" s="1" t="s">
        <v>216</v>
      </c>
      <c r="L234" s="1">
        <v>24</v>
      </c>
      <c r="M234" s="2">
        <v>40513.429861111108</v>
      </c>
      <c r="N234" s="1">
        <v>3.75</v>
      </c>
      <c r="O234" s="1">
        <v>17511</v>
      </c>
      <c r="P234" s="1" t="s">
        <v>10</v>
      </c>
      <c r="Q234" s="1"/>
    </row>
    <row r="235" spans="7:17" x14ac:dyDescent="0.25">
      <c r="G235" s="1" t="str">
        <f>TEXT(Table1[[#This Row],[InvoiceDate]],"H AM/PM")</f>
        <v>10 AM</v>
      </c>
      <c r="H235" s="1">
        <f t="shared" si="3"/>
        <v>71.039999999999992</v>
      </c>
      <c r="I235" s="1">
        <v>536390</v>
      </c>
      <c r="J235" s="1">
        <v>22174</v>
      </c>
      <c r="K235" s="1" t="s">
        <v>217</v>
      </c>
      <c r="L235" s="1">
        <v>48</v>
      </c>
      <c r="M235" s="2">
        <v>40513.429861111108</v>
      </c>
      <c r="N235" s="1">
        <v>1.48</v>
      </c>
      <c r="O235" s="1">
        <v>17511</v>
      </c>
      <c r="P235" s="1" t="s">
        <v>10</v>
      </c>
      <c r="Q235" s="1"/>
    </row>
    <row r="236" spans="7:17" x14ac:dyDescent="0.25">
      <c r="G236" s="1" t="str">
        <f>TEXT(Table1[[#This Row],[InvoiceDate]],"H AM/PM")</f>
        <v>10 AM</v>
      </c>
      <c r="H236" s="1">
        <f t="shared" si="3"/>
        <v>120</v>
      </c>
      <c r="I236" s="1">
        <v>536390</v>
      </c>
      <c r="J236" s="1">
        <v>22969</v>
      </c>
      <c r="K236" s="1" t="s">
        <v>183</v>
      </c>
      <c r="L236" s="1">
        <v>96</v>
      </c>
      <c r="M236" s="2">
        <v>40513.429861111108</v>
      </c>
      <c r="N236" s="1">
        <v>1.25</v>
      </c>
      <c r="O236" s="1">
        <v>17511</v>
      </c>
      <c r="P236" s="1" t="s">
        <v>10</v>
      </c>
      <c r="Q236" s="1"/>
    </row>
    <row r="237" spans="7:17" x14ac:dyDescent="0.25">
      <c r="G237" s="1" t="str">
        <f>TEXT(Table1[[#This Row],[InvoiceDate]],"H AM/PM")</f>
        <v>10 AM</v>
      </c>
      <c r="H237" s="1">
        <f t="shared" si="3"/>
        <v>165</v>
      </c>
      <c r="I237" s="1">
        <v>536390</v>
      </c>
      <c r="J237" s="1" t="s">
        <v>172</v>
      </c>
      <c r="K237" s="1" t="s">
        <v>173</v>
      </c>
      <c r="L237" s="1">
        <v>100</v>
      </c>
      <c r="M237" s="2">
        <v>40513.429861111108</v>
      </c>
      <c r="N237" s="1">
        <v>1.65</v>
      </c>
      <c r="O237" s="1">
        <v>17511</v>
      </c>
      <c r="P237" s="1" t="s">
        <v>10</v>
      </c>
      <c r="Q237" s="1"/>
    </row>
    <row r="238" spans="7:17" x14ac:dyDescent="0.25">
      <c r="G238" s="1" t="str">
        <f>TEXT(Table1[[#This Row],[InvoiceDate]],"H AM/PM")</f>
        <v>10 AM</v>
      </c>
      <c r="H238" s="1">
        <f t="shared" si="3"/>
        <v>-19.799999999999997</v>
      </c>
      <c r="I238" s="1" t="s">
        <v>218</v>
      </c>
      <c r="J238" s="1">
        <v>22556</v>
      </c>
      <c r="K238" s="1" t="s">
        <v>219</v>
      </c>
      <c r="L238" s="1">
        <v>-12</v>
      </c>
      <c r="M238" s="2">
        <v>40513.433333333334</v>
      </c>
      <c r="N238" s="1">
        <v>1.65</v>
      </c>
      <c r="O238" s="1">
        <v>17548</v>
      </c>
      <c r="P238" s="1" t="s">
        <v>10</v>
      </c>
      <c r="Q238" s="1"/>
    </row>
    <row r="239" spans="7:17" x14ac:dyDescent="0.25">
      <c r="G239" s="1" t="str">
        <f>TEXT(Table1[[#This Row],[InvoiceDate]],"H AM/PM")</f>
        <v>10 AM</v>
      </c>
      <c r="H239" s="1">
        <f t="shared" si="3"/>
        <v>-6.9599999999999991</v>
      </c>
      <c r="I239" s="1" t="s">
        <v>218</v>
      </c>
      <c r="J239" s="1">
        <v>21984</v>
      </c>
      <c r="K239" s="1" t="s">
        <v>220</v>
      </c>
      <c r="L239" s="1">
        <v>-24</v>
      </c>
      <c r="M239" s="2">
        <v>40513.433333333334</v>
      </c>
      <c r="N239" s="1">
        <v>0.28999999999999998</v>
      </c>
      <c r="O239" s="1">
        <v>17548</v>
      </c>
      <c r="P239" s="1" t="s">
        <v>10</v>
      </c>
      <c r="Q239" s="1"/>
    </row>
    <row r="240" spans="7:17" x14ac:dyDescent="0.25">
      <c r="G240" s="1" t="str">
        <f>TEXT(Table1[[#This Row],[InvoiceDate]],"H AM/PM")</f>
        <v>10 AM</v>
      </c>
      <c r="H240" s="1">
        <f t="shared" si="3"/>
        <v>-6.9599999999999991</v>
      </c>
      <c r="I240" s="1" t="s">
        <v>218</v>
      </c>
      <c r="J240" s="1">
        <v>21983</v>
      </c>
      <c r="K240" s="1" t="s">
        <v>221</v>
      </c>
      <c r="L240" s="1">
        <v>-24</v>
      </c>
      <c r="M240" s="2">
        <v>40513.433333333334</v>
      </c>
      <c r="N240" s="1">
        <v>0.28999999999999998</v>
      </c>
      <c r="O240" s="1">
        <v>17548</v>
      </c>
      <c r="P240" s="1" t="s">
        <v>10</v>
      </c>
      <c r="Q240" s="1"/>
    </row>
    <row r="241" spans="7:17" x14ac:dyDescent="0.25">
      <c r="G241" s="1" t="str">
        <f>TEXT(Table1[[#This Row],[InvoiceDate]],"H AM/PM")</f>
        <v>10 AM</v>
      </c>
      <c r="H241" s="1">
        <f t="shared" si="3"/>
        <v>-6.9599999999999991</v>
      </c>
      <c r="I241" s="1" t="s">
        <v>218</v>
      </c>
      <c r="J241" s="1">
        <v>21980</v>
      </c>
      <c r="K241" s="1" t="s">
        <v>222</v>
      </c>
      <c r="L241" s="1">
        <v>-24</v>
      </c>
      <c r="M241" s="2">
        <v>40513.433333333334</v>
      </c>
      <c r="N241" s="1">
        <v>0.28999999999999998</v>
      </c>
      <c r="O241" s="1">
        <v>17548</v>
      </c>
      <c r="P241" s="1" t="s">
        <v>10</v>
      </c>
      <c r="Q241" s="1"/>
    </row>
    <row r="242" spans="7:17" x14ac:dyDescent="0.25">
      <c r="G242" s="1" t="str">
        <f>TEXT(Table1[[#This Row],[InvoiceDate]],"H AM/PM")</f>
        <v>10 AM</v>
      </c>
      <c r="H242" s="1">
        <f t="shared" si="3"/>
        <v>-41.400000000000006</v>
      </c>
      <c r="I242" s="1" t="s">
        <v>218</v>
      </c>
      <c r="J242" s="1">
        <v>21484</v>
      </c>
      <c r="K242" s="1" t="s">
        <v>223</v>
      </c>
      <c r="L242" s="1">
        <v>-12</v>
      </c>
      <c r="M242" s="2">
        <v>40513.433333333334</v>
      </c>
      <c r="N242" s="1">
        <v>3.45</v>
      </c>
      <c r="O242" s="1">
        <v>17548</v>
      </c>
      <c r="P242" s="1" t="s">
        <v>10</v>
      </c>
      <c r="Q242" s="1"/>
    </row>
    <row r="243" spans="7:17" x14ac:dyDescent="0.25">
      <c r="G243" s="1" t="str">
        <f>TEXT(Table1[[#This Row],[InvoiceDate]],"H AM/PM")</f>
        <v>10 AM</v>
      </c>
      <c r="H243" s="1">
        <f t="shared" si="3"/>
        <v>-19.799999999999997</v>
      </c>
      <c r="I243" s="1" t="s">
        <v>218</v>
      </c>
      <c r="J243" s="1">
        <v>22557</v>
      </c>
      <c r="K243" s="1" t="s">
        <v>224</v>
      </c>
      <c r="L243" s="1">
        <v>-12</v>
      </c>
      <c r="M243" s="2">
        <v>40513.433333333334</v>
      </c>
      <c r="N243" s="1">
        <v>1.65</v>
      </c>
      <c r="O243" s="1">
        <v>17548</v>
      </c>
      <c r="P243" s="1" t="s">
        <v>10</v>
      </c>
      <c r="Q243" s="1"/>
    </row>
    <row r="244" spans="7:17" x14ac:dyDescent="0.25">
      <c r="G244" s="1" t="str">
        <f>TEXT(Table1[[#This Row],[InvoiceDate]],"H AM/PM")</f>
        <v>10 AM</v>
      </c>
      <c r="H244" s="1">
        <f t="shared" si="3"/>
        <v>-39.599999999999994</v>
      </c>
      <c r="I244" s="1" t="s">
        <v>218</v>
      </c>
      <c r="J244" s="1">
        <v>22553</v>
      </c>
      <c r="K244" s="1" t="s">
        <v>225</v>
      </c>
      <c r="L244" s="1">
        <v>-24</v>
      </c>
      <c r="M244" s="2">
        <v>40513.433333333334</v>
      </c>
      <c r="N244" s="1">
        <v>1.65</v>
      </c>
      <c r="O244" s="1">
        <v>17548</v>
      </c>
      <c r="P244" s="1" t="s">
        <v>10</v>
      </c>
      <c r="Q244" s="1"/>
    </row>
    <row r="245" spans="7:17" x14ac:dyDescent="0.25">
      <c r="G245" s="1" t="str">
        <f>TEXT(Table1[[#This Row],[InvoiceDate]],"H AM/PM")</f>
        <v>10 AM</v>
      </c>
      <c r="H245" s="1">
        <f t="shared" si="3"/>
        <v>11.7</v>
      </c>
      <c r="I245" s="1">
        <v>536392</v>
      </c>
      <c r="J245" s="1">
        <v>22150</v>
      </c>
      <c r="K245" s="1" t="s">
        <v>226</v>
      </c>
      <c r="L245" s="1">
        <v>6</v>
      </c>
      <c r="M245" s="2">
        <v>40513.436805555553</v>
      </c>
      <c r="N245" s="1">
        <v>1.95</v>
      </c>
      <c r="O245" s="1">
        <v>13705</v>
      </c>
      <c r="P245" s="1" t="s">
        <v>10</v>
      </c>
      <c r="Q245" s="1"/>
    </row>
    <row r="246" spans="7:17" x14ac:dyDescent="0.25">
      <c r="G246" s="1" t="str">
        <f>TEXT(Table1[[#This Row],[InvoiceDate]],"H AM/PM")</f>
        <v>10 AM</v>
      </c>
      <c r="H246" s="1">
        <f t="shared" si="3"/>
        <v>15</v>
      </c>
      <c r="I246" s="1">
        <v>536392</v>
      </c>
      <c r="J246" s="1">
        <v>22619</v>
      </c>
      <c r="K246" s="1" t="s">
        <v>227</v>
      </c>
      <c r="L246" s="1">
        <v>4</v>
      </c>
      <c r="M246" s="2">
        <v>40513.436805555553</v>
      </c>
      <c r="N246" s="1">
        <v>3.75</v>
      </c>
      <c r="O246" s="1">
        <v>13705</v>
      </c>
      <c r="P246" s="1" t="s">
        <v>10</v>
      </c>
      <c r="Q246" s="1"/>
    </row>
    <row r="247" spans="7:17" x14ac:dyDescent="0.25">
      <c r="G247" s="1" t="str">
        <f>TEXT(Table1[[#This Row],[InvoiceDate]],"H AM/PM")</f>
        <v>10 AM</v>
      </c>
      <c r="H247" s="1">
        <f t="shared" si="3"/>
        <v>15</v>
      </c>
      <c r="I247" s="1">
        <v>536392</v>
      </c>
      <c r="J247" s="1">
        <v>21891</v>
      </c>
      <c r="K247" s="1" t="s">
        <v>228</v>
      </c>
      <c r="L247" s="1">
        <v>12</v>
      </c>
      <c r="M247" s="2">
        <v>40513.436805555553</v>
      </c>
      <c r="N247" s="1">
        <v>1.25</v>
      </c>
      <c r="O247" s="1">
        <v>13705</v>
      </c>
      <c r="P247" s="1" t="s">
        <v>10</v>
      </c>
      <c r="Q247" s="1"/>
    </row>
    <row r="248" spans="7:17" x14ac:dyDescent="0.25">
      <c r="G248" s="1" t="str">
        <f>TEXT(Table1[[#This Row],[InvoiceDate]],"H AM/PM")</f>
        <v>10 AM</v>
      </c>
      <c r="H248" s="1">
        <f t="shared" si="3"/>
        <v>15</v>
      </c>
      <c r="I248" s="1">
        <v>536392</v>
      </c>
      <c r="J248" s="1">
        <v>21889</v>
      </c>
      <c r="K248" s="1" t="s">
        <v>229</v>
      </c>
      <c r="L248" s="1">
        <v>12</v>
      </c>
      <c r="M248" s="2">
        <v>40513.436805555553</v>
      </c>
      <c r="N248" s="1">
        <v>1.25</v>
      </c>
      <c r="O248" s="1">
        <v>13705</v>
      </c>
      <c r="P248" s="1" t="s">
        <v>10</v>
      </c>
      <c r="Q248" s="1"/>
    </row>
    <row r="249" spans="7:17" x14ac:dyDescent="0.25">
      <c r="G249" s="1" t="str">
        <f>TEXT(Table1[[#This Row],[InvoiceDate]],"H AM/PM")</f>
        <v>10 AM</v>
      </c>
      <c r="H249" s="1">
        <f t="shared" si="3"/>
        <v>165</v>
      </c>
      <c r="I249" s="1">
        <v>536392</v>
      </c>
      <c r="J249" s="1">
        <v>22827</v>
      </c>
      <c r="K249" s="1" t="s">
        <v>230</v>
      </c>
      <c r="L249" s="1">
        <v>1</v>
      </c>
      <c r="M249" s="2">
        <v>40513.436805555553</v>
      </c>
      <c r="N249" s="1">
        <v>165</v>
      </c>
      <c r="O249" s="1">
        <v>13705</v>
      </c>
      <c r="P249" s="1" t="s">
        <v>10</v>
      </c>
      <c r="Q249" s="1"/>
    </row>
    <row r="250" spans="7:17" x14ac:dyDescent="0.25">
      <c r="G250" s="1" t="str">
        <f>TEXT(Table1[[#This Row],[InvoiceDate]],"H AM/PM")</f>
        <v>10 AM</v>
      </c>
      <c r="H250" s="1">
        <f t="shared" si="3"/>
        <v>15</v>
      </c>
      <c r="I250" s="1">
        <v>536392</v>
      </c>
      <c r="J250" s="1">
        <v>22127</v>
      </c>
      <c r="K250" s="1" t="s">
        <v>231</v>
      </c>
      <c r="L250" s="1">
        <v>12</v>
      </c>
      <c r="M250" s="2">
        <v>40513.436805555553</v>
      </c>
      <c r="N250" s="1">
        <v>1.25</v>
      </c>
      <c r="O250" s="1">
        <v>13705</v>
      </c>
      <c r="P250" s="1" t="s">
        <v>10</v>
      </c>
      <c r="Q250" s="1"/>
    </row>
    <row r="251" spans="7:17" x14ac:dyDescent="0.25">
      <c r="G251" s="1" t="str">
        <f>TEXT(Table1[[#This Row],[InvoiceDate]],"H AM/PM")</f>
        <v>10 AM</v>
      </c>
      <c r="H251" s="1">
        <f t="shared" si="3"/>
        <v>15</v>
      </c>
      <c r="I251" s="1">
        <v>536392</v>
      </c>
      <c r="J251" s="1">
        <v>22128</v>
      </c>
      <c r="K251" s="1" t="s">
        <v>232</v>
      </c>
      <c r="L251" s="1">
        <v>12</v>
      </c>
      <c r="M251" s="2">
        <v>40513.436805555553</v>
      </c>
      <c r="N251" s="1">
        <v>1.25</v>
      </c>
      <c r="O251" s="1">
        <v>13705</v>
      </c>
      <c r="P251" s="1" t="s">
        <v>10</v>
      </c>
      <c r="Q251" s="1"/>
    </row>
    <row r="252" spans="7:17" x14ac:dyDescent="0.25">
      <c r="G252" s="1" t="str">
        <f>TEXT(Table1[[#This Row],[InvoiceDate]],"H AM/PM")</f>
        <v>10 AM</v>
      </c>
      <c r="H252" s="1">
        <f t="shared" si="3"/>
        <v>23.8</v>
      </c>
      <c r="I252" s="1">
        <v>536392</v>
      </c>
      <c r="J252" s="1">
        <v>22502</v>
      </c>
      <c r="K252" s="1" t="s">
        <v>233</v>
      </c>
      <c r="L252" s="1">
        <v>4</v>
      </c>
      <c r="M252" s="2">
        <v>40513.436805555553</v>
      </c>
      <c r="N252" s="1">
        <v>5.95</v>
      </c>
      <c r="O252" s="1">
        <v>13705</v>
      </c>
      <c r="P252" s="1" t="s">
        <v>10</v>
      </c>
      <c r="Q252" s="1"/>
    </row>
    <row r="253" spans="7:17" x14ac:dyDescent="0.25">
      <c r="G253" s="1" t="str">
        <f>TEXT(Table1[[#This Row],[InvoiceDate]],"H AM/PM")</f>
        <v>10 AM</v>
      </c>
      <c r="H253" s="1">
        <f t="shared" si="3"/>
        <v>27.04</v>
      </c>
      <c r="I253" s="1">
        <v>536392</v>
      </c>
      <c r="J253" s="1">
        <v>84879</v>
      </c>
      <c r="K253" s="1" t="s">
        <v>22</v>
      </c>
      <c r="L253" s="1">
        <v>16</v>
      </c>
      <c r="M253" s="2">
        <v>40513.436805555553</v>
      </c>
      <c r="N253" s="1">
        <v>1.69</v>
      </c>
      <c r="O253" s="1">
        <v>13705</v>
      </c>
      <c r="P253" s="1" t="s">
        <v>10</v>
      </c>
      <c r="Q253" s="1"/>
    </row>
    <row r="254" spans="7:17" x14ac:dyDescent="0.25">
      <c r="G254" s="1" t="str">
        <f>TEXT(Table1[[#This Row],[InvoiceDate]],"H AM/PM")</f>
        <v>10 AM</v>
      </c>
      <c r="H254" s="1">
        <f t="shared" si="3"/>
        <v>15.600000000000001</v>
      </c>
      <c r="I254" s="1">
        <v>536392</v>
      </c>
      <c r="J254" s="1">
        <v>22338</v>
      </c>
      <c r="K254" s="1" t="s">
        <v>234</v>
      </c>
      <c r="L254" s="1">
        <v>24</v>
      </c>
      <c r="M254" s="2">
        <v>40513.436805555553</v>
      </c>
      <c r="N254" s="1">
        <v>0.65</v>
      </c>
      <c r="O254" s="1">
        <v>13705</v>
      </c>
      <c r="P254" s="1" t="s">
        <v>10</v>
      </c>
      <c r="Q254" s="1"/>
    </row>
    <row r="255" spans="7:17" x14ac:dyDescent="0.25">
      <c r="G255" s="1" t="str">
        <f>TEXT(Table1[[#This Row],[InvoiceDate]],"H AM/PM")</f>
        <v>10 AM</v>
      </c>
      <c r="H255" s="1">
        <f t="shared" si="3"/>
        <v>79.599999999999994</v>
      </c>
      <c r="I255" s="1">
        <v>536393</v>
      </c>
      <c r="J255" s="1">
        <v>22180</v>
      </c>
      <c r="K255" s="1" t="s">
        <v>235</v>
      </c>
      <c r="L255" s="1">
        <v>8</v>
      </c>
      <c r="M255" s="2">
        <v>40513.442361111112</v>
      </c>
      <c r="N255" s="1">
        <v>9.9499999999999993</v>
      </c>
      <c r="O255" s="1">
        <v>13747</v>
      </c>
      <c r="P255" s="1" t="s">
        <v>10</v>
      </c>
      <c r="Q255" s="1"/>
    </row>
    <row r="256" spans="7:17" x14ac:dyDescent="0.25">
      <c r="G256" s="1" t="str">
        <f>TEXT(Table1[[#This Row],[InvoiceDate]],"H AM/PM")</f>
        <v>10 AM</v>
      </c>
      <c r="H256" s="1">
        <f t="shared" si="3"/>
        <v>10.08</v>
      </c>
      <c r="I256" s="1">
        <v>536394</v>
      </c>
      <c r="J256" s="1">
        <v>21506</v>
      </c>
      <c r="K256" s="1" t="s">
        <v>236</v>
      </c>
      <c r="L256" s="1">
        <v>24</v>
      </c>
      <c r="M256" s="2">
        <v>40513.443749999999</v>
      </c>
      <c r="N256" s="1">
        <v>0.42</v>
      </c>
      <c r="O256" s="1">
        <v>13408</v>
      </c>
      <c r="P256" s="1" t="s">
        <v>10</v>
      </c>
      <c r="Q256" s="1"/>
    </row>
    <row r="257" spans="7:17" x14ac:dyDescent="0.25">
      <c r="G257" s="1" t="str">
        <f>TEXT(Table1[[#This Row],[InvoiceDate]],"H AM/PM")</f>
        <v>10 AM</v>
      </c>
      <c r="H257" s="1">
        <f t="shared" si="3"/>
        <v>177.60000000000002</v>
      </c>
      <c r="I257" s="1">
        <v>536394</v>
      </c>
      <c r="J257" s="1">
        <v>22633</v>
      </c>
      <c r="K257" s="1" t="s">
        <v>20</v>
      </c>
      <c r="L257" s="1">
        <v>96</v>
      </c>
      <c r="M257" s="2">
        <v>40513.443749999999</v>
      </c>
      <c r="N257" s="1">
        <v>1.85</v>
      </c>
      <c r="O257" s="1">
        <v>13408</v>
      </c>
      <c r="P257" s="1" t="s">
        <v>10</v>
      </c>
      <c r="Q257" s="1"/>
    </row>
    <row r="258" spans="7:17" x14ac:dyDescent="0.25">
      <c r="G258" s="1" t="str">
        <f>TEXT(Table1[[#This Row],[InvoiceDate]],"H AM/PM")</f>
        <v>10 AM</v>
      </c>
      <c r="H258" s="1">
        <f t="shared" si="3"/>
        <v>177.60000000000002</v>
      </c>
      <c r="I258" s="1">
        <v>536394</v>
      </c>
      <c r="J258" s="1">
        <v>22866</v>
      </c>
      <c r="K258" s="1" t="s">
        <v>237</v>
      </c>
      <c r="L258" s="1">
        <v>96</v>
      </c>
      <c r="M258" s="2">
        <v>40513.443749999999</v>
      </c>
      <c r="N258" s="1">
        <v>1.85</v>
      </c>
      <c r="O258" s="1">
        <v>13408</v>
      </c>
      <c r="P258" s="1" t="s">
        <v>10</v>
      </c>
      <c r="Q258" s="1"/>
    </row>
    <row r="259" spans="7:17" x14ac:dyDescent="0.25">
      <c r="G259" s="1" t="str">
        <f>TEXT(Table1[[#This Row],[InvoiceDate]],"H AM/PM")</f>
        <v>10 AM</v>
      </c>
      <c r="H259" s="1">
        <f t="shared" ref="H259:H306" si="4">N259*L259</f>
        <v>177.60000000000002</v>
      </c>
      <c r="I259" s="1">
        <v>536394</v>
      </c>
      <c r="J259" s="1">
        <v>22865</v>
      </c>
      <c r="K259" s="1" t="s">
        <v>238</v>
      </c>
      <c r="L259" s="1">
        <v>96</v>
      </c>
      <c r="M259" s="2">
        <v>40513.443749999999</v>
      </c>
      <c r="N259" s="1">
        <v>1.85</v>
      </c>
      <c r="O259" s="1">
        <v>13408</v>
      </c>
      <c r="P259" s="1" t="s">
        <v>10</v>
      </c>
      <c r="Q259" s="1"/>
    </row>
    <row r="260" spans="7:17" x14ac:dyDescent="0.25">
      <c r="G260" s="1" t="str">
        <f>TEXT(Table1[[#This Row],[InvoiceDate]],"H AM/PM")</f>
        <v>10 AM</v>
      </c>
      <c r="H260" s="1">
        <f t="shared" si="4"/>
        <v>177.60000000000002</v>
      </c>
      <c r="I260" s="1">
        <v>536394</v>
      </c>
      <c r="J260" s="1">
        <v>22632</v>
      </c>
      <c r="K260" s="1" t="s">
        <v>239</v>
      </c>
      <c r="L260" s="1">
        <v>96</v>
      </c>
      <c r="M260" s="2">
        <v>40513.443749999999</v>
      </c>
      <c r="N260" s="1">
        <v>1.85</v>
      </c>
      <c r="O260" s="1">
        <v>13408</v>
      </c>
      <c r="P260" s="1" t="s">
        <v>10</v>
      </c>
      <c r="Q260" s="1"/>
    </row>
    <row r="261" spans="7:17" x14ac:dyDescent="0.25">
      <c r="G261" s="1" t="str">
        <f>TEXT(Table1[[#This Row],[InvoiceDate]],"H AM/PM")</f>
        <v>10 AM</v>
      </c>
      <c r="H261" s="1">
        <f t="shared" si="4"/>
        <v>59.400000000000006</v>
      </c>
      <c r="I261" s="1">
        <v>536394</v>
      </c>
      <c r="J261" s="1">
        <v>21485</v>
      </c>
      <c r="K261" s="1" t="s">
        <v>214</v>
      </c>
      <c r="L261" s="1">
        <v>12</v>
      </c>
      <c r="M261" s="2">
        <v>40513.443749999999</v>
      </c>
      <c r="N261" s="1">
        <v>4.95</v>
      </c>
      <c r="O261" s="1">
        <v>13408</v>
      </c>
      <c r="P261" s="1" t="s">
        <v>10</v>
      </c>
      <c r="Q261" s="1"/>
    </row>
    <row r="262" spans="7:17" x14ac:dyDescent="0.25">
      <c r="G262" s="1" t="str">
        <f>TEXT(Table1[[#This Row],[InvoiceDate]],"H AM/PM")</f>
        <v>10 AM</v>
      </c>
      <c r="H262" s="1">
        <f t="shared" si="4"/>
        <v>45</v>
      </c>
      <c r="I262" s="1">
        <v>536394</v>
      </c>
      <c r="J262" s="1">
        <v>22349</v>
      </c>
      <c r="K262" s="1" t="s">
        <v>240</v>
      </c>
      <c r="L262" s="1">
        <v>12</v>
      </c>
      <c r="M262" s="2">
        <v>40513.443749999999</v>
      </c>
      <c r="N262" s="1">
        <v>3.75</v>
      </c>
      <c r="O262" s="1">
        <v>13408</v>
      </c>
      <c r="P262" s="1" t="s">
        <v>10</v>
      </c>
      <c r="Q262" s="1"/>
    </row>
    <row r="263" spans="7:17" x14ac:dyDescent="0.25">
      <c r="G263" s="1" t="str">
        <f>TEXT(Table1[[#This Row],[InvoiceDate]],"H AM/PM")</f>
        <v>10 AM</v>
      </c>
      <c r="H263" s="1">
        <f t="shared" si="4"/>
        <v>60</v>
      </c>
      <c r="I263" s="1">
        <v>536394</v>
      </c>
      <c r="J263" s="1">
        <v>22558</v>
      </c>
      <c r="K263" s="1" t="s">
        <v>241</v>
      </c>
      <c r="L263" s="1">
        <v>48</v>
      </c>
      <c r="M263" s="2">
        <v>40513.443749999999</v>
      </c>
      <c r="N263" s="1">
        <v>1.25</v>
      </c>
      <c r="O263" s="1">
        <v>13408</v>
      </c>
      <c r="P263" s="1" t="s">
        <v>10</v>
      </c>
      <c r="Q263" s="1"/>
    </row>
    <row r="264" spans="7:17" x14ac:dyDescent="0.25">
      <c r="G264" s="1" t="str">
        <f>TEXT(Table1[[#This Row],[InvoiceDate]],"H AM/PM")</f>
        <v>10 AM</v>
      </c>
      <c r="H264" s="1">
        <f t="shared" si="4"/>
        <v>25.200000000000003</v>
      </c>
      <c r="I264" s="1">
        <v>536394</v>
      </c>
      <c r="J264" s="1">
        <v>85152</v>
      </c>
      <c r="K264" s="1" t="s">
        <v>242</v>
      </c>
      <c r="L264" s="1">
        <v>12</v>
      </c>
      <c r="M264" s="2">
        <v>40513.443749999999</v>
      </c>
      <c r="N264" s="1">
        <v>2.1</v>
      </c>
      <c r="O264" s="1">
        <v>13408</v>
      </c>
      <c r="P264" s="1" t="s">
        <v>10</v>
      </c>
      <c r="Q264" s="1"/>
    </row>
    <row r="265" spans="7:17" x14ac:dyDescent="0.25">
      <c r="G265" s="1" t="str">
        <f>TEXT(Table1[[#This Row],[InvoiceDate]],"H AM/PM")</f>
        <v>10 AM</v>
      </c>
      <c r="H265" s="1">
        <f t="shared" si="4"/>
        <v>81.599999999999994</v>
      </c>
      <c r="I265" s="1">
        <v>536394</v>
      </c>
      <c r="J265" s="1" t="s">
        <v>8</v>
      </c>
      <c r="K265" s="1" t="s">
        <v>9</v>
      </c>
      <c r="L265" s="1">
        <v>32</v>
      </c>
      <c r="M265" s="2">
        <v>40513.443749999999</v>
      </c>
      <c r="N265" s="1">
        <v>2.5499999999999998</v>
      </c>
      <c r="O265" s="1">
        <v>13408</v>
      </c>
      <c r="P265" s="1" t="s">
        <v>10</v>
      </c>
      <c r="Q265" s="1"/>
    </row>
    <row r="266" spans="7:17" x14ac:dyDescent="0.25">
      <c r="G266" s="1" t="str">
        <f>TEXT(Table1[[#This Row],[InvoiceDate]],"H AM/PM")</f>
        <v>10 AM</v>
      </c>
      <c r="H266" s="1">
        <f t="shared" si="4"/>
        <v>33</v>
      </c>
      <c r="I266" s="1">
        <v>536394</v>
      </c>
      <c r="J266" s="1">
        <v>22652</v>
      </c>
      <c r="K266" s="1" t="s">
        <v>243</v>
      </c>
      <c r="L266" s="1">
        <v>20</v>
      </c>
      <c r="M266" s="2">
        <v>40513.443749999999</v>
      </c>
      <c r="N266" s="1">
        <v>1.65</v>
      </c>
      <c r="O266" s="1">
        <v>13408</v>
      </c>
      <c r="P266" s="1" t="s">
        <v>10</v>
      </c>
      <c r="Q266" s="1"/>
    </row>
    <row r="267" spans="7:17" x14ac:dyDescent="0.25">
      <c r="G267" s="1" t="str">
        <f>TEXT(Table1[[#This Row],[InvoiceDate]],"H AM/PM")</f>
        <v>10 AM</v>
      </c>
      <c r="H267" s="1">
        <f t="shared" si="4"/>
        <v>31.6</v>
      </c>
      <c r="I267" s="1">
        <v>536395</v>
      </c>
      <c r="J267" s="1">
        <v>22188</v>
      </c>
      <c r="K267" s="1" t="s">
        <v>244</v>
      </c>
      <c r="L267" s="1">
        <v>8</v>
      </c>
      <c r="M267" s="2">
        <v>40513.449305555558</v>
      </c>
      <c r="N267" s="1">
        <v>3.95</v>
      </c>
      <c r="O267" s="1">
        <v>13767</v>
      </c>
      <c r="P267" s="1" t="s">
        <v>10</v>
      </c>
      <c r="Q267" s="1"/>
    </row>
    <row r="268" spans="7:17" x14ac:dyDescent="0.25">
      <c r="G268" s="1" t="str">
        <f>TEXT(Table1[[#This Row],[InvoiceDate]],"H AM/PM")</f>
        <v>10 AM</v>
      </c>
      <c r="H268" s="1">
        <f t="shared" si="4"/>
        <v>54.08</v>
      </c>
      <c r="I268" s="1">
        <v>536395</v>
      </c>
      <c r="J268" s="1">
        <v>84879</v>
      </c>
      <c r="K268" s="1" t="s">
        <v>22</v>
      </c>
      <c r="L268" s="1">
        <v>32</v>
      </c>
      <c r="M268" s="2">
        <v>40513.449305555558</v>
      </c>
      <c r="N268" s="1">
        <v>1.69</v>
      </c>
      <c r="O268" s="1">
        <v>13767</v>
      </c>
      <c r="P268" s="1" t="s">
        <v>10</v>
      </c>
      <c r="Q268" s="1"/>
    </row>
    <row r="269" spans="7:17" x14ac:dyDescent="0.25">
      <c r="G269" s="1" t="str">
        <f>TEXT(Table1[[#This Row],[InvoiceDate]],"H AM/PM")</f>
        <v>10 AM</v>
      </c>
      <c r="H269" s="1">
        <f t="shared" si="4"/>
        <v>13.200000000000001</v>
      </c>
      <c r="I269" s="1">
        <v>536395</v>
      </c>
      <c r="J269" s="1">
        <v>21977</v>
      </c>
      <c r="K269" s="1" t="s">
        <v>90</v>
      </c>
      <c r="L269" s="1">
        <v>24</v>
      </c>
      <c r="M269" s="2">
        <v>40513.449305555558</v>
      </c>
      <c r="N269" s="1">
        <v>0.55000000000000004</v>
      </c>
      <c r="O269" s="1">
        <v>13767</v>
      </c>
      <c r="P269" s="1" t="s">
        <v>10</v>
      </c>
      <c r="Q269" s="1"/>
    </row>
    <row r="270" spans="7:17" x14ac:dyDescent="0.25">
      <c r="G270" s="1" t="str">
        <f>TEXT(Table1[[#This Row],[InvoiceDate]],"H AM/PM")</f>
        <v>10 AM</v>
      </c>
      <c r="H270" s="1">
        <f t="shared" si="4"/>
        <v>13.200000000000001</v>
      </c>
      <c r="I270" s="1">
        <v>536395</v>
      </c>
      <c r="J270" s="1">
        <v>84991</v>
      </c>
      <c r="K270" s="1" t="s">
        <v>91</v>
      </c>
      <c r="L270" s="1">
        <v>24</v>
      </c>
      <c r="M270" s="2">
        <v>40513.449305555558</v>
      </c>
      <c r="N270" s="1">
        <v>0.55000000000000004</v>
      </c>
      <c r="O270" s="1">
        <v>13767</v>
      </c>
      <c r="P270" s="1" t="s">
        <v>10</v>
      </c>
      <c r="Q270" s="1"/>
    </row>
    <row r="271" spans="7:17" x14ac:dyDescent="0.25">
      <c r="G271" s="1" t="str">
        <f>TEXT(Table1[[#This Row],[InvoiceDate]],"H AM/PM")</f>
        <v>10 AM</v>
      </c>
      <c r="H271" s="1">
        <f t="shared" si="4"/>
        <v>13.200000000000001</v>
      </c>
      <c r="I271" s="1">
        <v>536395</v>
      </c>
      <c r="J271" s="1">
        <v>21212</v>
      </c>
      <c r="K271" s="1" t="s">
        <v>88</v>
      </c>
      <c r="L271" s="1">
        <v>24</v>
      </c>
      <c r="M271" s="2">
        <v>40513.449305555558</v>
      </c>
      <c r="N271" s="1">
        <v>0.55000000000000004</v>
      </c>
      <c r="O271" s="1">
        <v>13767</v>
      </c>
      <c r="P271" s="1" t="s">
        <v>10</v>
      </c>
      <c r="Q271" s="1"/>
    </row>
    <row r="272" spans="7:17" x14ac:dyDescent="0.25">
      <c r="G272" s="1" t="str">
        <f>TEXT(Table1[[#This Row],[InvoiceDate]],"H AM/PM")</f>
        <v>10 AM</v>
      </c>
      <c r="H272" s="1">
        <f t="shared" si="4"/>
        <v>27.6</v>
      </c>
      <c r="I272" s="1">
        <v>536395</v>
      </c>
      <c r="J272" s="1">
        <v>21484</v>
      </c>
      <c r="K272" s="1" t="s">
        <v>223</v>
      </c>
      <c r="L272" s="1">
        <v>8</v>
      </c>
      <c r="M272" s="2">
        <v>40513.449305555558</v>
      </c>
      <c r="N272" s="1">
        <v>3.45</v>
      </c>
      <c r="O272" s="1">
        <v>13767</v>
      </c>
      <c r="P272" s="1" t="s">
        <v>10</v>
      </c>
      <c r="Q272" s="1"/>
    </row>
    <row r="273" spans="7:17" x14ac:dyDescent="0.25">
      <c r="G273" s="1" t="str">
        <f>TEXT(Table1[[#This Row],[InvoiceDate]],"H AM/PM")</f>
        <v>10 AM</v>
      </c>
      <c r="H273" s="1">
        <f t="shared" si="4"/>
        <v>16.8</v>
      </c>
      <c r="I273" s="1">
        <v>536395</v>
      </c>
      <c r="J273" s="1">
        <v>21314</v>
      </c>
      <c r="K273" s="1" t="s">
        <v>245</v>
      </c>
      <c r="L273" s="1">
        <v>8</v>
      </c>
      <c r="M273" s="2">
        <v>40513.449305555558</v>
      </c>
      <c r="N273" s="1">
        <v>2.1</v>
      </c>
      <c r="O273" s="1">
        <v>13767</v>
      </c>
      <c r="P273" s="1" t="s">
        <v>10</v>
      </c>
      <c r="Q273" s="1"/>
    </row>
    <row r="274" spans="7:17" x14ac:dyDescent="0.25">
      <c r="G274" s="1" t="str">
        <f>TEXT(Table1[[#This Row],[InvoiceDate]],"H AM/PM")</f>
        <v>10 AM</v>
      </c>
      <c r="H274" s="1">
        <f t="shared" si="4"/>
        <v>15</v>
      </c>
      <c r="I274" s="1">
        <v>536395</v>
      </c>
      <c r="J274" s="1">
        <v>22730</v>
      </c>
      <c r="K274" s="1" t="s">
        <v>246</v>
      </c>
      <c r="L274" s="1">
        <v>4</v>
      </c>
      <c r="M274" s="2">
        <v>40513.449305555558</v>
      </c>
      <c r="N274" s="1">
        <v>3.75</v>
      </c>
      <c r="O274" s="1">
        <v>13767</v>
      </c>
      <c r="P274" s="1" t="s">
        <v>10</v>
      </c>
      <c r="Q274" s="1"/>
    </row>
    <row r="275" spans="7:17" x14ac:dyDescent="0.25">
      <c r="G275" s="1" t="str">
        <f>TEXT(Table1[[#This Row],[InvoiceDate]],"H AM/PM")</f>
        <v>10 AM</v>
      </c>
      <c r="H275" s="1">
        <f t="shared" si="4"/>
        <v>30</v>
      </c>
      <c r="I275" s="1">
        <v>536395</v>
      </c>
      <c r="J275" s="1">
        <v>22727</v>
      </c>
      <c r="K275" s="1" t="s">
        <v>41</v>
      </c>
      <c r="L275" s="1">
        <v>8</v>
      </c>
      <c r="M275" s="2">
        <v>40513.449305555558</v>
      </c>
      <c r="N275" s="1">
        <v>3.75</v>
      </c>
      <c r="O275" s="1">
        <v>13767</v>
      </c>
      <c r="P275" s="1" t="s">
        <v>10</v>
      </c>
      <c r="Q275" s="1"/>
    </row>
    <row r="276" spans="7:17" x14ac:dyDescent="0.25">
      <c r="G276" s="1" t="str">
        <f>TEXT(Table1[[#This Row],[InvoiceDate]],"H AM/PM")</f>
        <v>10 AM</v>
      </c>
      <c r="H276" s="1">
        <f t="shared" si="4"/>
        <v>30</v>
      </c>
      <c r="I276" s="1">
        <v>536395</v>
      </c>
      <c r="J276" s="1">
        <v>22729</v>
      </c>
      <c r="K276" s="1" t="s">
        <v>247</v>
      </c>
      <c r="L276" s="1">
        <v>8</v>
      </c>
      <c r="M276" s="2">
        <v>40513.449305555558</v>
      </c>
      <c r="N276" s="1">
        <v>3.75</v>
      </c>
      <c r="O276" s="1">
        <v>13767</v>
      </c>
      <c r="P276" s="1" t="s">
        <v>10</v>
      </c>
      <c r="Q276" s="1"/>
    </row>
    <row r="277" spans="7:17" x14ac:dyDescent="0.25">
      <c r="G277" s="1" t="str">
        <f>TEXT(Table1[[#This Row],[InvoiceDate]],"H AM/PM")</f>
        <v>10 AM</v>
      </c>
      <c r="H277" s="1">
        <f t="shared" si="4"/>
        <v>30</v>
      </c>
      <c r="I277" s="1">
        <v>536395</v>
      </c>
      <c r="J277" s="1">
        <v>22726</v>
      </c>
      <c r="K277" s="1" t="s">
        <v>42</v>
      </c>
      <c r="L277" s="1">
        <v>8</v>
      </c>
      <c r="M277" s="2">
        <v>40513.449305555558</v>
      </c>
      <c r="N277" s="1">
        <v>3.75</v>
      </c>
      <c r="O277" s="1">
        <v>13767</v>
      </c>
      <c r="P277" s="1" t="s">
        <v>10</v>
      </c>
      <c r="Q277" s="1"/>
    </row>
    <row r="278" spans="7:17" x14ac:dyDescent="0.25">
      <c r="G278" s="1" t="str">
        <f>TEXT(Table1[[#This Row],[InvoiceDate]],"H AM/PM")</f>
        <v>10 AM</v>
      </c>
      <c r="H278" s="1">
        <f t="shared" si="4"/>
        <v>31.6</v>
      </c>
      <c r="I278" s="1">
        <v>536395</v>
      </c>
      <c r="J278" s="1">
        <v>22114</v>
      </c>
      <c r="K278" s="1" t="s">
        <v>73</v>
      </c>
      <c r="L278" s="1">
        <v>8</v>
      </c>
      <c r="M278" s="2">
        <v>40513.449305555558</v>
      </c>
      <c r="N278" s="1">
        <v>3.95</v>
      </c>
      <c r="O278" s="1">
        <v>13767</v>
      </c>
      <c r="P278" s="1" t="s">
        <v>10</v>
      </c>
      <c r="Q278" s="1"/>
    </row>
    <row r="279" spans="7:17" x14ac:dyDescent="0.25">
      <c r="G279" s="1" t="str">
        <f>TEXT(Table1[[#This Row],[InvoiceDate]],"H AM/PM")</f>
        <v>10 AM</v>
      </c>
      <c r="H279" s="1">
        <f t="shared" si="4"/>
        <v>100.80000000000001</v>
      </c>
      <c r="I279" s="1">
        <v>536395</v>
      </c>
      <c r="J279" s="1">
        <v>22867</v>
      </c>
      <c r="K279" s="1" t="s">
        <v>248</v>
      </c>
      <c r="L279" s="1">
        <v>48</v>
      </c>
      <c r="M279" s="2">
        <v>40513.449305555558</v>
      </c>
      <c r="N279" s="1">
        <v>2.1</v>
      </c>
      <c r="O279" s="1">
        <v>13767</v>
      </c>
      <c r="P279" s="1" t="s">
        <v>10</v>
      </c>
      <c r="Q279" s="1"/>
    </row>
    <row r="280" spans="7:17" x14ac:dyDescent="0.25">
      <c r="G280" s="1" t="str">
        <f>TEXT(Table1[[#This Row],[InvoiceDate]],"H AM/PM")</f>
        <v>10 AM</v>
      </c>
      <c r="H280" s="1">
        <f t="shared" si="4"/>
        <v>100.80000000000001</v>
      </c>
      <c r="I280" s="1">
        <v>536395</v>
      </c>
      <c r="J280" s="1">
        <v>22866</v>
      </c>
      <c r="K280" s="1" t="s">
        <v>237</v>
      </c>
      <c r="L280" s="1">
        <v>48</v>
      </c>
      <c r="M280" s="2">
        <v>40513.449305555558</v>
      </c>
      <c r="N280" s="1">
        <v>2.1</v>
      </c>
      <c r="O280" s="1">
        <v>13767</v>
      </c>
      <c r="P280" s="1" t="s">
        <v>10</v>
      </c>
      <c r="Q280" s="1"/>
    </row>
    <row r="281" spans="7:17" x14ac:dyDescent="0.25">
      <c r="G281" s="1" t="str">
        <f>TEXT(Table1[[#This Row],[InvoiceDate]],"H AM/PM")</f>
        <v>10 AM</v>
      </c>
      <c r="H281" s="1">
        <f t="shared" si="4"/>
        <v>15.299999999999999</v>
      </c>
      <c r="I281" s="1">
        <v>536396</v>
      </c>
      <c r="J281" s="1" t="s">
        <v>8</v>
      </c>
      <c r="K281" s="1" t="s">
        <v>9</v>
      </c>
      <c r="L281" s="1">
        <v>6</v>
      </c>
      <c r="M281" s="2">
        <v>40513.45208333333</v>
      </c>
      <c r="N281" s="1">
        <v>2.5499999999999998</v>
      </c>
      <c r="O281" s="1">
        <v>17850</v>
      </c>
      <c r="P281" s="1" t="s">
        <v>10</v>
      </c>
      <c r="Q281" s="1"/>
    </row>
    <row r="282" spans="7:17" x14ac:dyDescent="0.25">
      <c r="G282" s="1" t="str">
        <f>TEXT(Table1[[#This Row],[InvoiceDate]],"H AM/PM")</f>
        <v>10 AM</v>
      </c>
      <c r="H282" s="1">
        <f t="shared" si="4"/>
        <v>20.34</v>
      </c>
      <c r="I282" s="1">
        <v>536396</v>
      </c>
      <c r="J282" s="1">
        <v>71053</v>
      </c>
      <c r="K282" s="1" t="s">
        <v>11</v>
      </c>
      <c r="L282" s="1">
        <v>6</v>
      </c>
      <c r="M282" s="2">
        <v>40513.45208333333</v>
      </c>
      <c r="N282" s="1">
        <v>3.39</v>
      </c>
      <c r="O282" s="1">
        <v>17850</v>
      </c>
      <c r="P282" s="1" t="s">
        <v>10</v>
      </c>
      <c r="Q282" s="1"/>
    </row>
    <row r="283" spans="7:17" x14ac:dyDescent="0.25">
      <c r="G283" s="1" t="str">
        <f>TEXT(Table1[[#This Row],[InvoiceDate]],"H AM/PM")</f>
        <v>10 AM</v>
      </c>
      <c r="H283" s="1">
        <f t="shared" si="4"/>
        <v>22</v>
      </c>
      <c r="I283" s="1">
        <v>536396</v>
      </c>
      <c r="J283" s="1" t="s">
        <v>12</v>
      </c>
      <c r="K283" s="1" t="s">
        <v>13</v>
      </c>
      <c r="L283" s="1">
        <v>8</v>
      </c>
      <c r="M283" s="2">
        <v>40513.45208333333</v>
      </c>
      <c r="N283" s="1">
        <v>2.75</v>
      </c>
      <c r="O283" s="1">
        <v>17850</v>
      </c>
      <c r="P283" s="1" t="s">
        <v>10</v>
      </c>
      <c r="Q283" s="1"/>
    </row>
    <row r="284" spans="7:17" x14ac:dyDescent="0.25">
      <c r="G284" s="1" t="str">
        <f>TEXT(Table1[[#This Row],[InvoiceDate]],"H AM/PM")</f>
        <v>10 AM</v>
      </c>
      <c r="H284" s="1">
        <f t="shared" si="4"/>
        <v>29.700000000000003</v>
      </c>
      <c r="I284" s="1">
        <v>536396</v>
      </c>
      <c r="J284" s="1" t="s">
        <v>128</v>
      </c>
      <c r="K284" s="1" t="s">
        <v>129</v>
      </c>
      <c r="L284" s="1">
        <v>6</v>
      </c>
      <c r="M284" s="2">
        <v>40513.45208333333</v>
      </c>
      <c r="N284" s="1">
        <v>4.95</v>
      </c>
      <c r="O284" s="1">
        <v>17850</v>
      </c>
      <c r="P284" s="1" t="s">
        <v>10</v>
      </c>
      <c r="Q284" s="1"/>
    </row>
    <row r="285" spans="7:17" x14ac:dyDescent="0.25">
      <c r="G285" s="1" t="str">
        <f>TEXT(Table1[[#This Row],[InvoiceDate]],"H AM/PM")</f>
        <v>10 AM</v>
      </c>
      <c r="H285" s="1">
        <f t="shared" si="4"/>
        <v>29.700000000000003</v>
      </c>
      <c r="I285" s="1">
        <v>536396</v>
      </c>
      <c r="J285" s="1">
        <v>20679</v>
      </c>
      <c r="K285" s="1" t="s">
        <v>62</v>
      </c>
      <c r="L285" s="1">
        <v>6</v>
      </c>
      <c r="M285" s="2">
        <v>40513.45208333333</v>
      </c>
      <c r="N285" s="1">
        <v>4.95</v>
      </c>
      <c r="O285" s="1">
        <v>17850</v>
      </c>
      <c r="P285" s="1" t="s">
        <v>10</v>
      </c>
      <c r="Q285" s="1"/>
    </row>
    <row r="286" spans="7:17" x14ac:dyDescent="0.25">
      <c r="G286" s="1" t="str">
        <f>TEXT(Table1[[#This Row],[InvoiceDate]],"H AM/PM")</f>
        <v>10 AM</v>
      </c>
      <c r="H286" s="1">
        <f t="shared" si="4"/>
        <v>6.36</v>
      </c>
      <c r="I286" s="1">
        <v>536396</v>
      </c>
      <c r="J286" s="1">
        <v>37370</v>
      </c>
      <c r="K286" s="1" t="s">
        <v>63</v>
      </c>
      <c r="L286" s="1">
        <v>6</v>
      </c>
      <c r="M286" s="2">
        <v>40513.45208333333</v>
      </c>
      <c r="N286" s="1">
        <v>1.06</v>
      </c>
      <c r="O286" s="1">
        <v>17850</v>
      </c>
      <c r="P286" s="1" t="s">
        <v>10</v>
      </c>
      <c r="Q286" s="1"/>
    </row>
    <row r="287" spans="7:17" x14ac:dyDescent="0.25">
      <c r="G287" s="1" t="str">
        <f>TEXT(Table1[[#This Row],[InvoiceDate]],"H AM/PM")</f>
        <v>10 AM</v>
      </c>
      <c r="H287" s="1">
        <f t="shared" si="4"/>
        <v>6.36</v>
      </c>
      <c r="I287" s="1">
        <v>536396</v>
      </c>
      <c r="J287" s="1">
        <v>21871</v>
      </c>
      <c r="K287" s="1" t="s">
        <v>64</v>
      </c>
      <c r="L287" s="1">
        <v>6</v>
      </c>
      <c r="M287" s="2">
        <v>40513.45208333333</v>
      </c>
      <c r="N287" s="1">
        <v>1.06</v>
      </c>
      <c r="O287" s="1">
        <v>17850</v>
      </c>
      <c r="P287" s="1" t="s">
        <v>10</v>
      </c>
      <c r="Q287" s="1"/>
    </row>
    <row r="288" spans="7:17" x14ac:dyDescent="0.25">
      <c r="G288" s="1" t="str">
        <f>TEXT(Table1[[#This Row],[InvoiceDate]],"H AM/PM")</f>
        <v>10 AM</v>
      </c>
      <c r="H288" s="1">
        <f t="shared" si="4"/>
        <v>6.36</v>
      </c>
      <c r="I288" s="1">
        <v>536396</v>
      </c>
      <c r="J288" s="1">
        <v>21071</v>
      </c>
      <c r="K288" s="1" t="s">
        <v>65</v>
      </c>
      <c r="L288" s="1">
        <v>6</v>
      </c>
      <c r="M288" s="2">
        <v>40513.45208333333</v>
      </c>
      <c r="N288" s="1">
        <v>1.06</v>
      </c>
      <c r="O288" s="1">
        <v>17850</v>
      </c>
      <c r="P288" s="1" t="s">
        <v>10</v>
      </c>
      <c r="Q288" s="1"/>
    </row>
    <row r="289" spans="7:17" x14ac:dyDescent="0.25">
      <c r="G289" s="1" t="str">
        <f>TEXT(Table1[[#This Row],[InvoiceDate]],"H AM/PM")</f>
        <v>10 AM</v>
      </c>
      <c r="H289" s="1">
        <f t="shared" si="4"/>
        <v>6.36</v>
      </c>
      <c r="I289" s="1">
        <v>536396</v>
      </c>
      <c r="J289" s="1">
        <v>21068</v>
      </c>
      <c r="K289" s="1" t="s">
        <v>66</v>
      </c>
      <c r="L289" s="1">
        <v>6</v>
      </c>
      <c r="M289" s="2">
        <v>40513.45208333333</v>
      </c>
      <c r="N289" s="1">
        <v>1.06</v>
      </c>
      <c r="O289" s="1">
        <v>17850</v>
      </c>
      <c r="P289" s="1" t="s">
        <v>10</v>
      </c>
      <c r="Q289" s="1"/>
    </row>
    <row r="290" spans="7:17" x14ac:dyDescent="0.25">
      <c r="G290" s="1" t="str">
        <f>TEXT(Table1[[#This Row],[InvoiceDate]],"H AM/PM")</f>
        <v>10 AM</v>
      </c>
      <c r="H290" s="1">
        <f t="shared" si="4"/>
        <v>9.9</v>
      </c>
      <c r="I290" s="1">
        <v>536396</v>
      </c>
      <c r="J290" s="1">
        <v>82483</v>
      </c>
      <c r="K290" s="1" t="s">
        <v>67</v>
      </c>
      <c r="L290" s="1">
        <v>2</v>
      </c>
      <c r="M290" s="2">
        <v>40513.45208333333</v>
      </c>
      <c r="N290" s="1">
        <v>4.95</v>
      </c>
      <c r="O290" s="1">
        <v>17850</v>
      </c>
      <c r="P290" s="1" t="s">
        <v>10</v>
      </c>
      <c r="Q290" s="1"/>
    </row>
    <row r="291" spans="7:17" x14ac:dyDescent="0.25">
      <c r="G291" s="1" t="str">
        <f>TEXT(Table1[[#This Row],[InvoiceDate]],"H AM/PM")</f>
        <v>10 AM</v>
      </c>
      <c r="H291" s="1">
        <f t="shared" si="4"/>
        <v>27.8</v>
      </c>
      <c r="I291" s="1">
        <v>536396</v>
      </c>
      <c r="J291" s="1">
        <v>82486</v>
      </c>
      <c r="K291" s="1" t="s">
        <v>68</v>
      </c>
      <c r="L291" s="1">
        <v>4</v>
      </c>
      <c r="M291" s="2">
        <v>40513.45208333333</v>
      </c>
      <c r="N291" s="1">
        <v>6.95</v>
      </c>
      <c r="O291" s="1">
        <v>17850</v>
      </c>
      <c r="P291" s="1" t="s">
        <v>10</v>
      </c>
      <c r="Q291" s="1"/>
    </row>
    <row r="292" spans="7:17" x14ac:dyDescent="0.25">
      <c r="G292" s="1" t="str">
        <f>TEXT(Table1[[#This Row],[InvoiceDate]],"H AM/PM")</f>
        <v>10 AM</v>
      </c>
      <c r="H292" s="1">
        <f t="shared" si="4"/>
        <v>12.600000000000001</v>
      </c>
      <c r="I292" s="1">
        <v>536396</v>
      </c>
      <c r="J292" s="1">
        <v>82482</v>
      </c>
      <c r="K292" s="1" t="s">
        <v>69</v>
      </c>
      <c r="L292" s="1">
        <v>6</v>
      </c>
      <c r="M292" s="2">
        <v>40513.45208333333</v>
      </c>
      <c r="N292" s="1">
        <v>2.1</v>
      </c>
      <c r="O292" s="1">
        <v>17850</v>
      </c>
      <c r="P292" s="1" t="s">
        <v>10</v>
      </c>
      <c r="Q292" s="1"/>
    </row>
    <row r="293" spans="7:17" x14ac:dyDescent="0.25">
      <c r="G293" s="1" t="str">
        <f>TEXT(Table1[[#This Row],[InvoiceDate]],"H AM/PM")</f>
        <v>10 AM</v>
      </c>
      <c r="H293" s="1">
        <f t="shared" si="4"/>
        <v>30.599999999999998</v>
      </c>
      <c r="I293" s="1">
        <v>536396</v>
      </c>
      <c r="J293" s="1" t="s">
        <v>70</v>
      </c>
      <c r="K293" s="1" t="s">
        <v>71</v>
      </c>
      <c r="L293" s="1">
        <v>12</v>
      </c>
      <c r="M293" s="2">
        <v>40513.45208333333</v>
      </c>
      <c r="N293" s="1">
        <v>2.5499999999999998</v>
      </c>
      <c r="O293" s="1">
        <v>17850</v>
      </c>
      <c r="P293" s="1" t="s">
        <v>10</v>
      </c>
      <c r="Q293" s="1"/>
    </row>
    <row r="294" spans="7:17" x14ac:dyDescent="0.25">
      <c r="G294" s="1" t="str">
        <f>TEXT(Table1[[#This Row],[InvoiceDate]],"H AM/PM")</f>
        <v>10 AM</v>
      </c>
      <c r="H294" s="1">
        <f t="shared" si="4"/>
        <v>20.34</v>
      </c>
      <c r="I294" s="1">
        <v>536396</v>
      </c>
      <c r="J294" s="1" t="s">
        <v>14</v>
      </c>
      <c r="K294" s="1" t="s">
        <v>15</v>
      </c>
      <c r="L294" s="1">
        <v>6</v>
      </c>
      <c r="M294" s="2">
        <v>40513.45208333333</v>
      </c>
      <c r="N294" s="1">
        <v>3.39</v>
      </c>
      <c r="O294" s="1">
        <v>17850</v>
      </c>
      <c r="P294" s="1" t="s">
        <v>10</v>
      </c>
      <c r="Q294" s="1"/>
    </row>
    <row r="295" spans="7:17" x14ac:dyDescent="0.25">
      <c r="G295" s="1" t="str">
        <f>TEXT(Table1[[#This Row],[InvoiceDate]],"H AM/PM")</f>
        <v>10 AM</v>
      </c>
      <c r="H295" s="1">
        <f t="shared" si="4"/>
        <v>20.34</v>
      </c>
      <c r="I295" s="1">
        <v>536396</v>
      </c>
      <c r="J295" s="1" t="s">
        <v>16</v>
      </c>
      <c r="K295" s="1" t="s">
        <v>17</v>
      </c>
      <c r="L295" s="1">
        <v>6</v>
      </c>
      <c r="M295" s="2">
        <v>40513.45208333333</v>
      </c>
      <c r="N295" s="1">
        <v>3.39</v>
      </c>
      <c r="O295" s="1">
        <v>17850</v>
      </c>
      <c r="P295" s="1" t="s">
        <v>10</v>
      </c>
      <c r="Q295" s="1"/>
    </row>
    <row r="296" spans="7:17" x14ac:dyDescent="0.25">
      <c r="G296" s="1" t="str">
        <f>TEXT(Table1[[#This Row],[InvoiceDate]],"H AM/PM")</f>
        <v>10 AM</v>
      </c>
      <c r="H296" s="1">
        <f t="shared" si="4"/>
        <v>15.3</v>
      </c>
      <c r="I296" s="1">
        <v>536396</v>
      </c>
      <c r="J296" s="1">
        <v>22752</v>
      </c>
      <c r="K296" s="1" t="s">
        <v>18</v>
      </c>
      <c r="L296" s="1">
        <v>2</v>
      </c>
      <c r="M296" s="2">
        <v>40513.45208333333</v>
      </c>
      <c r="N296" s="1">
        <v>7.65</v>
      </c>
      <c r="O296" s="1">
        <v>17850</v>
      </c>
      <c r="P296" s="1" t="s">
        <v>10</v>
      </c>
      <c r="Q296" s="1"/>
    </row>
    <row r="297" spans="7:17" x14ac:dyDescent="0.25">
      <c r="G297" s="1" t="str">
        <f>TEXT(Table1[[#This Row],[InvoiceDate]],"H AM/PM")</f>
        <v>10 AM</v>
      </c>
      <c r="H297" s="1">
        <f t="shared" si="4"/>
        <v>71.5</v>
      </c>
      <c r="I297" s="1">
        <v>536396</v>
      </c>
      <c r="J297" s="1">
        <v>22803</v>
      </c>
      <c r="K297" s="1" t="s">
        <v>249</v>
      </c>
      <c r="L297" s="1">
        <v>2</v>
      </c>
      <c r="M297" s="2">
        <v>40513.45208333333</v>
      </c>
      <c r="N297" s="1">
        <v>35.75</v>
      </c>
      <c r="O297" s="1">
        <v>17850</v>
      </c>
      <c r="P297" s="1" t="s">
        <v>10</v>
      </c>
      <c r="Q297" s="1"/>
    </row>
    <row r="298" spans="7:17" x14ac:dyDescent="0.25">
      <c r="G298" s="1" t="str">
        <f>TEXT(Table1[[#This Row],[InvoiceDate]],"H AM/PM")</f>
        <v>10 AM</v>
      </c>
      <c r="H298" s="1">
        <f t="shared" si="4"/>
        <v>25.5</v>
      </c>
      <c r="I298" s="1">
        <v>536396</v>
      </c>
      <c r="J298" s="1">
        <v>21730</v>
      </c>
      <c r="K298" s="1" t="s">
        <v>19</v>
      </c>
      <c r="L298" s="1">
        <v>6</v>
      </c>
      <c r="M298" s="2">
        <v>40513.45208333333</v>
      </c>
      <c r="N298" s="1">
        <v>4.25</v>
      </c>
      <c r="O298" s="1">
        <v>17850</v>
      </c>
      <c r="P298" s="1" t="s">
        <v>10</v>
      </c>
      <c r="Q298" s="1"/>
    </row>
    <row r="299" spans="7:17" x14ac:dyDescent="0.25">
      <c r="G299" s="1" t="str">
        <f>TEXT(Table1[[#This Row],[InvoiceDate]],"H AM/PM")</f>
        <v>10 AM</v>
      </c>
      <c r="H299" s="1">
        <f t="shared" si="4"/>
        <v>55.800000000000004</v>
      </c>
      <c r="I299" s="1">
        <v>536397</v>
      </c>
      <c r="J299" s="1" t="s">
        <v>250</v>
      </c>
      <c r="K299" s="1" t="s">
        <v>251</v>
      </c>
      <c r="L299" s="1">
        <v>12</v>
      </c>
      <c r="M299" s="2">
        <v>40513.45208333333</v>
      </c>
      <c r="N299" s="1">
        <v>4.6500000000000004</v>
      </c>
      <c r="O299" s="1">
        <v>17924</v>
      </c>
      <c r="P299" s="1" t="s">
        <v>10</v>
      </c>
      <c r="Q299" s="1"/>
    </row>
    <row r="300" spans="7:17" x14ac:dyDescent="0.25">
      <c r="G300" s="1" t="str">
        <f>TEXT(Table1[[#This Row],[InvoiceDate]],"H AM/PM")</f>
        <v>10 AM</v>
      </c>
      <c r="H300" s="1">
        <f t="shared" si="4"/>
        <v>223.20000000000002</v>
      </c>
      <c r="I300" s="1">
        <v>536397</v>
      </c>
      <c r="J300" s="1" t="s">
        <v>151</v>
      </c>
      <c r="K300" s="1" t="s">
        <v>152</v>
      </c>
      <c r="L300" s="1">
        <v>48</v>
      </c>
      <c r="M300" s="2">
        <v>40513.45208333333</v>
      </c>
      <c r="N300" s="1">
        <v>4.6500000000000004</v>
      </c>
      <c r="O300" s="1">
        <v>17924</v>
      </c>
      <c r="P300" s="1" t="s">
        <v>10</v>
      </c>
      <c r="Q300" s="1"/>
    </row>
    <row r="301" spans="7:17" x14ac:dyDescent="0.25">
      <c r="G301" s="1" t="str">
        <f>TEXT(Table1[[#This Row],[InvoiceDate]],"H AM/PM")</f>
        <v>10 AM</v>
      </c>
      <c r="H301" s="1">
        <f t="shared" si="4"/>
        <v>6.9599999999999991</v>
      </c>
      <c r="I301" s="1">
        <v>536398</v>
      </c>
      <c r="J301" s="1">
        <v>21980</v>
      </c>
      <c r="K301" s="1" t="s">
        <v>222</v>
      </c>
      <c r="L301" s="1">
        <v>24</v>
      </c>
      <c r="M301" s="2">
        <v>40513.452777777777</v>
      </c>
      <c r="N301" s="1">
        <v>0.28999999999999998</v>
      </c>
      <c r="O301" s="1">
        <v>13448</v>
      </c>
      <c r="P301" s="1" t="s">
        <v>10</v>
      </c>
      <c r="Q301" s="1"/>
    </row>
    <row r="302" spans="7:17" x14ac:dyDescent="0.25">
      <c r="G302" s="1" t="str">
        <f>TEXT(Table1[[#This Row],[InvoiceDate]],"H AM/PM")</f>
        <v>10 AM</v>
      </c>
      <c r="H302" s="1">
        <f t="shared" si="4"/>
        <v>17.700000000000003</v>
      </c>
      <c r="I302" s="1">
        <v>536398</v>
      </c>
      <c r="J302" s="1">
        <v>21844</v>
      </c>
      <c r="K302" s="1" t="s">
        <v>252</v>
      </c>
      <c r="L302" s="1">
        <v>6</v>
      </c>
      <c r="M302" s="2">
        <v>40513.452777777777</v>
      </c>
      <c r="N302" s="1">
        <v>2.95</v>
      </c>
      <c r="O302" s="1">
        <v>13448</v>
      </c>
      <c r="P302" s="1" t="s">
        <v>10</v>
      </c>
      <c r="Q302" s="1"/>
    </row>
    <row r="303" spans="7:17" x14ac:dyDescent="0.25">
      <c r="G303" s="1" t="str">
        <f>TEXT(Table1[[#This Row],[InvoiceDate]],"H AM/PM")</f>
        <v>10 AM</v>
      </c>
      <c r="H303" s="1">
        <f t="shared" si="4"/>
        <v>27</v>
      </c>
      <c r="I303" s="1">
        <v>536398</v>
      </c>
      <c r="J303" s="1">
        <v>22468</v>
      </c>
      <c r="K303" s="1" t="s">
        <v>253</v>
      </c>
      <c r="L303" s="1">
        <v>4</v>
      </c>
      <c r="M303" s="2">
        <v>40513.452777777777</v>
      </c>
      <c r="N303" s="1">
        <v>6.75</v>
      </c>
      <c r="O303" s="1">
        <v>13448</v>
      </c>
      <c r="P303" s="1" t="s">
        <v>10</v>
      </c>
      <c r="Q303" s="1"/>
    </row>
    <row r="304" spans="7:17" x14ac:dyDescent="0.25">
      <c r="G304" s="1" t="str">
        <f>TEXT(Table1[[#This Row],[InvoiceDate]],"H AM/PM")</f>
        <v>10 AM</v>
      </c>
      <c r="H304" s="1">
        <f t="shared" si="4"/>
        <v>20.399999999999999</v>
      </c>
      <c r="I304" s="1">
        <v>536398</v>
      </c>
      <c r="J304" s="1">
        <v>22637</v>
      </c>
      <c r="K304" s="1" t="s">
        <v>110</v>
      </c>
      <c r="L304" s="1">
        <v>8</v>
      </c>
      <c r="M304" s="2">
        <v>40513.452777777777</v>
      </c>
      <c r="N304" s="1">
        <v>2.5499999999999998</v>
      </c>
      <c r="O304" s="1">
        <v>13448</v>
      </c>
      <c r="P304" s="1" t="s">
        <v>10</v>
      </c>
      <c r="Q304" s="1"/>
    </row>
    <row r="305" spans="7:17" x14ac:dyDescent="0.25">
      <c r="G305" s="1" t="str">
        <f>TEXT(Table1[[#This Row],[InvoiceDate]],"H AM/PM")</f>
        <v>10 AM</v>
      </c>
      <c r="H305" s="1">
        <f t="shared" si="4"/>
        <v>51</v>
      </c>
      <c r="I305" s="1">
        <v>536398</v>
      </c>
      <c r="J305" s="1">
        <v>22752</v>
      </c>
      <c r="K305" s="1" t="s">
        <v>18</v>
      </c>
      <c r="L305" s="1">
        <v>6</v>
      </c>
      <c r="M305" s="2">
        <v>40513.452777777777</v>
      </c>
      <c r="N305" s="1">
        <v>8.5</v>
      </c>
      <c r="O305" s="1">
        <v>13448</v>
      </c>
      <c r="P305" s="1" t="s">
        <v>10</v>
      </c>
      <c r="Q305" s="1"/>
    </row>
    <row r="306" spans="7:17" x14ac:dyDescent="0.25">
      <c r="G306" s="1" t="str">
        <f>TEXT(Table1[[#This Row],[InvoiceDate]],"H AM/PM")</f>
        <v>10 AM</v>
      </c>
      <c r="H306" s="1">
        <f t="shared" si="4"/>
        <v>15.9</v>
      </c>
      <c r="I306" s="1">
        <v>536398</v>
      </c>
      <c r="J306" s="1">
        <v>48185</v>
      </c>
      <c r="K306" s="1" t="s">
        <v>254</v>
      </c>
      <c r="L306" s="1">
        <v>2</v>
      </c>
      <c r="M306" s="2">
        <v>40513.452777777777</v>
      </c>
      <c r="N306" s="1">
        <v>7.95</v>
      </c>
      <c r="O306" s="1">
        <v>13448</v>
      </c>
      <c r="P306" s="1" t="s">
        <v>10</v>
      </c>
      <c r="Q306" s="1"/>
    </row>
    <row r="307" spans="7:17" x14ac:dyDescent="0.25">
      <c r="G307" s="7"/>
      <c r="H307" s="1">
        <f>SUM(Table1[total seals])</f>
        <v>13475.180000000011</v>
      </c>
      <c r="I307" s="1">
        <f>SUM(Table1[InvoiceNo])</f>
        <v>158232881</v>
      </c>
      <c r="J307" s="1"/>
      <c r="K307" s="1"/>
      <c r="L307" s="1"/>
      <c r="M307" s="2"/>
      <c r="N307" s="1"/>
      <c r="O307" s="1"/>
      <c r="P307" s="1"/>
    </row>
  </sheetData>
  <pageMargins left="0.7" right="0.7" top="0.75" bottom="0.75" header="0.3" footer="0.3"/>
  <pageSetup scale="40" fitToHeight="0" orientation="portrait" horizontalDpi="1200" verticalDpi="1200"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C3E9CD-3E75-460A-BF73-9B3416BF9AA4}">
  <sheetPr>
    <tabColor theme="2" tint="-9.9978637043366805E-2"/>
  </sheetPr>
  <dimension ref="I7:J128"/>
  <sheetViews>
    <sheetView topLeftCell="D1" workbookViewId="0">
      <selection activeCell="J26" sqref="J26"/>
    </sheetView>
  </sheetViews>
  <sheetFormatPr defaultRowHeight="15" x14ac:dyDescent="0.25"/>
  <cols>
    <col min="5" max="5" width="13.140625" bestFit="1" customWidth="1"/>
    <col min="6" max="6" width="16.7109375" bestFit="1" customWidth="1"/>
    <col min="7" max="9" width="13.140625" bestFit="1" customWidth="1"/>
    <col min="10" max="10" width="16.7109375" bestFit="1" customWidth="1"/>
  </cols>
  <sheetData>
    <row r="7" spans="9:10" x14ac:dyDescent="0.25">
      <c r="I7" s="4" t="s">
        <v>258</v>
      </c>
      <c r="J7" t="s">
        <v>257</v>
      </c>
    </row>
    <row r="8" spans="9:10" x14ac:dyDescent="0.25">
      <c r="I8" s="5" t="s">
        <v>259</v>
      </c>
      <c r="J8" s="3">
        <v>4767.1299999999974</v>
      </c>
    </row>
    <row r="9" spans="9:10" x14ac:dyDescent="0.25">
      <c r="I9" s="5" t="s">
        <v>260</v>
      </c>
      <c r="J9" s="3">
        <v>1383.8099999999997</v>
      </c>
    </row>
    <row r="10" spans="9:10" x14ac:dyDescent="0.25">
      <c r="I10" s="5" t="s">
        <v>261</v>
      </c>
      <c r="J10" s="3">
        <v>7324.239999999998</v>
      </c>
    </row>
    <row r="11" spans="9:10" x14ac:dyDescent="0.25">
      <c r="I11" s="5" t="s">
        <v>262</v>
      </c>
      <c r="J11" s="3">
        <v>13475.180000000011</v>
      </c>
    </row>
    <row r="35" spans="9:10" x14ac:dyDescent="0.25">
      <c r="I35" s="4" t="s">
        <v>258</v>
      </c>
      <c r="J35" t="s">
        <v>257</v>
      </c>
    </row>
    <row r="36" spans="9:10" x14ac:dyDescent="0.25">
      <c r="I36" s="5" t="s">
        <v>174</v>
      </c>
      <c r="J36" s="3">
        <v>733.43999999999994</v>
      </c>
    </row>
    <row r="37" spans="9:10" x14ac:dyDescent="0.25">
      <c r="I37" s="5" t="s">
        <v>177</v>
      </c>
      <c r="J37" s="3">
        <v>626.4</v>
      </c>
    </row>
    <row r="38" spans="9:10" x14ac:dyDescent="0.25">
      <c r="I38" s="5" t="s">
        <v>237</v>
      </c>
      <c r="J38" s="3">
        <v>278.40000000000003</v>
      </c>
    </row>
    <row r="39" spans="9:10" x14ac:dyDescent="0.25">
      <c r="I39" s="5" t="s">
        <v>173</v>
      </c>
      <c r="J39" s="3">
        <v>330</v>
      </c>
    </row>
    <row r="40" spans="9:10" x14ac:dyDescent="0.25">
      <c r="I40" s="5" t="s">
        <v>175</v>
      </c>
      <c r="J40" s="3">
        <v>647.04</v>
      </c>
    </row>
    <row r="41" spans="9:10" x14ac:dyDescent="0.25">
      <c r="I41" s="5" t="s">
        <v>53</v>
      </c>
      <c r="J41" s="3">
        <v>582.9</v>
      </c>
    </row>
    <row r="42" spans="9:10" x14ac:dyDescent="0.25">
      <c r="I42" s="5" t="s">
        <v>152</v>
      </c>
      <c r="J42" s="3">
        <v>251.25000000000003</v>
      </c>
    </row>
    <row r="43" spans="9:10" x14ac:dyDescent="0.25">
      <c r="I43" s="5" t="s">
        <v>72</v>
      </c>
      <c r="J43" s="3">
        <v>350.4</v>
      </c>
    </row>
    <row r="44" spans="9:10" x14ac:dyDescent="0.25">
      <c r="I44" s="5" t="s">
        <v>9</v>
      </c>
      <c r="J44" s="3">
        <v>306</v>
      </c>
    </row>
    <row r="45" spans="9:10" x14ac:dyDescent="0.25">
      <c r="I45" s="5" t="s">
        <v>263</v>
      </c>
      <c r="J45" s="3">
        <v>647.04</v>
      </c>
    </row>
    <row r="46" spans="9:10" x14ac:dyDescent="0.25">
      <c r="I46" s="5" t="s">
        <v>262</v>
      </c>
      <c r="J46" s="3">
        <v>4752.87</v>
      </c>
    </row>
    <row r="62" spans="9:10" x14ac:dyDescent="0.25">
      <c r="I62" s="4" t="s">
        <v>258</v>
      </c>
      <c r="J62" t="s">
        <v>257</v>
      </c>
    </row>
    <row r="63" spans="9:10" x14ac:dyDescent="0.25">
      <c r="I63" s="5" t="s">
        <v>188</v>
      </c>
      <c r="J63" s="3">
        <v>358.25</v>
      </c>
    </row>
    <row r="64" spans="9:10" x14ac:dyDescent="0.25">
      <c r="I64" s="5" t="s">
        <v>40</v>
      </c>
      <c r="J64" s="3">
        <v>855.86</v>
      </c>
    </row>
    <row r="65" spans="9:10" x14ac:dyDescent="0.25">
      <c r="I65" s="5" t="s">
        <v>10</v>
      </c>
      <c r="J65" s="3">
        <v>12261.069999999996</v>
      </c>
    </row>
    <row r="66" spans="9:10" x14ac:dyDescent="0.25">
      <c r="I66" s="5" t="s">
        <v>262</v>
      </c>
      <c r="J66" s="3">
        <v>13475.180000000011</v>
      </c>
    </row>
    <row r="96" spans="9:10" x14ac:dyDescent="0.25">
      <c r="I96" s="4" t="s">
        <v>258</v>
      </c>
      <c r="J96" t="s">
        <v>257</v>
      </c>
    </row>
    <row r="97" spans="9:10" x14ac:dyDescent="0.25">
      <c r="I97" s="5">
        <v>6</v>
      </c>
      <c r="J97" s="3">
        <v>1226.9999999999998</v>
      </c>
    </row>
    <row r="98" spans="9:10" x14ac:dyDescent="0.25">
      <c r="I98" s="5">
        <v>8</v>
      </c>
      <c r="J98" s="3">
        <v>664.40000000000009</v>
      </c>
    </row>
    <row r="99" spans="9:10" x14ac:dyDescent="0.25">
      <c r="I99" s="5">
        <v>12</v>
      </c>
      <c r="J99" s="3">
        <v>851.04</v>
      </c>
    </row>
    <row r="100" spans="9:10" x14ac:dyDescent="0.25">
      <c r="I100" s="5">
        <v>24</v>
      </c>
      <c r="J100" s="3">
        <v>1107.3600000000004</v>
      </c>
    </row>
    <row r="101" spans="9:10" x14ac:dyDescent="0.25">
      <c r="I101" s="5">
        <v>32</v>
      </c>
      <c r="J101" s="3">
        <v>540.16</v>
      </c>
    </row>
    <row r="102" spans="9:10" x14ac:dyDescent="0.25">
      <c r="I102" s="5">
        <v>48</v>
      </c>
      <c r="J102" s="3">
        <v>953.76</v>
      </c>
    </row>
    <row r="103" spans="9:10" x14ac:dyDescent="0.25">
      <c r="I103" s="5">
        <v>96</v>
      </c>
      <c r="J103" s="3">
        <v>989.7600000000001</v>
      </c>
    </row>
    <row r="104" spans="9:10" x14ac:dyDescent="0.25">
      <c r="I104" s="5">
        <v>100</v>
      </c>
      <c r="J104" s="3">
        <v>567</v>
      </c>
    </row>
    <row r="105" spans="9:10" x14ac:dyDescent="0.25">
      <c r="I105" s="5">
        <v>192</v>
      </c>
      <c r="J105" s="3">
        <v>2027.52</v>
      </c>
    </row>
    <row r="106" spans="9:10" x14ac:dyDescent="0.25">
      <c r="I106" s="5">
        <v>432</v>
      </c>
      <c r="J106" s="3">
        <v>1166.4000000000001</v>
      </c>
    </row>
    <row r="107" spans="9:10" x14ac:dyDescent="0.25">
      <c r="I107" s="5" t="s">
        <v>262</v>
      </c>
      <c r="J107" s="3">
        <v>10094.400000000003</v>
      </c>
    </row>
    <row r="117" spans="9:10" x14ac:dyDescent="0.25">
      <c r="I117" s="4" t="s">
        <v>258</v>
      </c>
      <c r="J117" t="s">
        <v>257</v>
      </c>
    </row>
    <row r="118" spans="9:10" x14ac:dyDescent="0.25">
      <c r="I118" s="5">
        <v>12583</v>
      </c>
      <c r="J118" s="3">
        <v>855.86</v>
      </c>
    </row>
    <row r="119" spans="9:10" x14ac:dyDescent="0.25">
      <c r="I119" s="5">
        <v>13408</v>
      </c>
      <c r="J119" s="3">
        <v>1024.6800000000003</v>
      </c>
    </row>
    <row r="120" spans="9:10" x14ac:dyDescent="0.25">
      <c r="I120" s="5">
        <v>13767</v>
      </c>
      <c r="J120" s="3">
        <v>507.88000000000011</v>
      </c>
    </row>
    <row r="121" spans="9:10" x14ac:dyDescent="0.25">
      <c r="I121" s="5">
        <v>14688</v>
      </c>
      <c r="J121" s="3">
        <v>444.98</v>
      </c>
    </row>
    <row r="122" spans="9:10" x14ac:dyDescent="0.25">
      <c r="I122" s="5">
        <v>15311</v>
      </c>
      <c r="J122" s="3">
        <v>445.33</v>
      </c>
    </row>
    <row r="123" spans="9:10" x14ac:dyDescent="0.25">
      <c r="I123" s="5">
        <v>16029</v>
      </c>
      <c r="J123" s="3">
        <v>3702.12</v>
      </c>
    </row>
    <row r="124" spans="9:10" x14ac:dyDescent="0.25">
      <c r="I124" s="5">
        <v>16098</v>
      </c>
      <c r="J124" s="3">
        <v>430.59999999999997</v>
      </c>
    </row>
    <row r="125" spans="9:10" x14ac:dyDescent="0.25">
      <c r="I125" s="5">
        <v>17511</v>
      </c>
      <c r="J125" s="3">
        <v>1825.74</v>
      </c>
    </row>
    <row r="126" spans="9:10" x14ac:dyDescent="0.25">
      <c r="I126" s="5">
        <v>17850</v>
      </c>
      <c r="J126" s="3">
        <v>1101.8000000000002</v>
      </c>
    </row>
    <row r="127" spans="9:10" x14ac:dyDescent="0.25">
      <c r="I127" s="5">
        <v>18074</v>
      </c>
      <c r="J127" s="3">
        <v>489.6</v>
      </c>
    </row>
    <row r="128" spans="9:10" x14ac:dyDescent="0.25">
      <c r="I128" s="5" t="s">
        <v>262</v>
      </c>
      <c r="J128" s="3">
        <v>10828.590000000002</v>
      </c>
    </row>
  </sheetData>
  <pageMargins left="0.7" right="0.7" top="0.75" bottom="0.75" header="0.3" footer="0.3"/>
  <pageSetup orientation="portrait" horizontalDpi="1200" verticalDpi="1200" r:id="rId6"/>
  <drawing r:id="rId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6BD07B-EECC-4B92-B131-B043C74F6C16}">
  <sheetPr>
    <tabColor theme="2" tint="-0.249977111117893"/>
    <pageSetUpPr fitToPage="1"/>
  </sheetPr>
  <dimension ref="F1:T6"/>
  <sheetViews>
    <sheetView showGridLines="0" tabSelected="1" topLeftCell="A8" zoomScale="96" zoomScaleNormal="96" workbookViewId="0">
      <selection activeCell="J26" sqref="J26"/>
    </sheetView>
  </sheetViews>
  <sheetFormatPr defaultRowHeight="15" x14ac:dyDescent="0.25"/>
  <cols>
    <col min="11" max="11" width="16.28515625" bestFit="1" customWidth="1"/>
    <col min="16" max="16" width="9" customWidth="1"/>
    <col min="19" max="19" width="16.28515625" bestFit="1" customWidth="1"/>
  </cols>
  <sheetData>
    <row r="1" spans="6:20" x14ac:dyDescent="0.25">
      <c r="F1" s="6"/>
      <c r="G1" s="6"/>
      <c r="H1" s="6"/>
      <c r="M1" s="6"/>
      <c r="N1" s="6"/>
      <c r="O1" s="6"/>
      <c r="P1" s="6"/>
      <c r="Q1" s="6"/>
      <c r="R1" s="6"/>
      <c r="S1" s="6"/>
      <c r="T1" s="6"/>
    </row>
    <row r="2" spans="6:20" x14ac:dyDescent="0.25">
      <c r="F2" s="6"/>
      <c r="G2" s="6"/>
      <c r="H2" s="6"/>
      <c r="I2" s="6"/>
      <c r="J2" s="6"/>
      <c r="K2" s="6"/>
      <c r="L2" s="6"/>
      <c r="M2" s="6"/>
      <c r="N2" s="6"/>
      <c r="O2" s="6"/>
      <c r="P2" s="6"/>
      <c r="Q2" s="6"/>
      <c r="R2" s="6"/>
      <c r="S2" s="6"/>
      <c r="T2" s="6"/>
    </row>
    <row r="6" spans="6:20" ht="33.75" x14ac:dyDescent="0.5">
      <c r="K6" s="8"/>
    </row>
  </sheetData>
  <pageMargins left="0.7" right="0.7" top="0.75" bottom="0.75" header="0.3" footer="0.3"/>
  <pageSetup scale="48" orientation="portrait" horizontalDpi="1200" verticalDpi="1200"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Clean_Data</vt:lpstr>
      <vt:lpstr>Analysis</vt:lpstr>
      <vt:lpstr>dasboard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toni</dc:creator>
  <cp:lastModifiedBy>toto202605@outlook.com</cp:lastModifiedBy>
  <cp:lastPrinted>2026-05-05T18:50:39Z</cp:lastPrinted>
  <dcterms:created xsi:type="dcterms:W3CDTF">2015-06-05T18:17:20Z</dcterms:created>
  <dcterms:modified xsi:type="dcterms:W3CDTF">2026-05-05T18:50:47Z</dcterms:modified>
</cp:coreProperties>
</file>