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oni\Documents\"/>
    </mc:Choice>
  </mc:AlternateContent>
  <xr:revisionPtr revIDLastSave="0" documentId="13_ncr:1_{DE50E8AE-4D38-4390-8E3F-FC74DABE4AF0}" xr6:coauthVersionLast="47" xr6:coauthVersionMax="47" xr10:uidLastSave="{00000000-0000-0000-0000-000000000000}"/>
  <bookViews>
    <workbookView xWindow="-120" yWindow="-120" windowWidth="19440" windowHeight="15000" tabRatio="933" activeTab="7" xr2:uid="{00000000-000D-0000-FFFF-FFFF00000000}"/>
  </bookViews>
  <sheets>
    <sheet name="table1" sheetId="1" r:id="rId1"/>
    <sheet name="pivot" sheetId="2" r:id="rId2"/>
    <sheet name="hr" sheetId="7" r:id="rId3"/>
    <sheet name="id" sheetId="6" r:id="rId4"/>
    <sheet name="description-q" sheetId="5" r:id="rId5"/>
    <sheet name="country" sheetId="4" r:id="rId6"/>
    <sheet name="description-seals" sheetId="3" r:id="rId7"/>
    <sheet name="dasboard" sheetId="8" r:id="rId8"/>
  </sheets>
  <definedNames>
    <definedName name="_xlcn.WorksheetConnection_project.xlsxTable11" hidden="1">Table1[]</definedName>
  </definedNames>
  <calcPr calcId="191029"/>
  <pivotCaches>
    <pivotCache cacheId="0" r:id="rId9"/>
    <pivotCache cacheId="1" r:id="rId10"/>
    <pivotCache cacheId="2" r:id="rId11"/>
    <pivotCache cacheId="3" r:id="rId12"/>
    <pivotCache cacheId="4" r:id="rId13"/>
    <pivotCache cacheId="18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project.xlsx!Table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" columnName="InvoiceDate" columnId="InvoiceDate">
                <x16:calculatedTimeColumn columnName="InvoiceDate (Hour)" columnId="InvoiceDate (Hour)" contentType="hours" isSelected="1"/>
                <x16:calculatedTimeColumn columnName="InvoiceDate (Minute)" columnId="InvoiceDate (Minute)" contentType="minute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07" i="1" l="1"/>
  <c r="I30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14FCAA-0A21-4B25-82D3-7B7582ED1D8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2608EEE-1662-4A8F-8262-913677A09722}" name="WorksheetConnection_project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project.xlsxTable11"/>
        </x15:connection>
      </ext>
    </extLst>
  </connection>
</connections>
</file>

<file path=xl/sharedStrings.xml><?xml version="1.0" encoding="utf-8"?>
<sst xmlns="http://schemas.openxmlformats.org/spreadsheetml/2006/main" count="723" uniqueCount="265">
  <si>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</si>
  <si>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</si>
  <si>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</si>
  <si>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</si>
  <si>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</si>
  <si>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</si>
  <si>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</si>
  <si>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</si>
  <si>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</si>
  <si>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</si>
  <si>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</si>
  <si>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</si>
  <si>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</si>
  <si>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</si>
  <si>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</si>
  <si>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</si>
  <si>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</si>
  <si>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</si>
  <si>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</si>
  <si>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</si>
  <si>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</si>
  <si>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</si>
  <si>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</si>
  <si>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</si>
  <si>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</si>
  <si>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</si>
  <si>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</si>
  <si>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</si>
  <si>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</si>
  <si>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</si>
  <si>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</si>
  <si>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</si>
  <si>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</si>
  <si>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</si>
  <si>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</si>
  <si>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</si>
  <si>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</si>
  <si>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</si>
  <si>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</si>
  <si>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</si>
  <si>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</si>
  <si>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</si>
  <si>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</si>
  <si>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</si>
  <si>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</si>
  <si>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</si>
  <si>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</si>
  <si>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</si>
  <si>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</si>
  <si>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</si>
  <si>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</si>
  <si>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</si>
  <si>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</si>
  <si>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</si>
  <si>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</si>
  <si>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</si>
  <si>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</si>
  <si>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</si>
  <si>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</si>
  <si>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</si>
  <si>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</si>
  <si>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</si>
  <si>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</si>
  <si>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</si>
  <si>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</si>
  <si>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</si>
  <si>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</si>
  <si>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</si>
  <si>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</si>
  <si>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</si>
  <si>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</si>
  <si>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</si>
  <si>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</si>
  <si>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</si>
  <si>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</si>
  <si>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</si>
  <si>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</si>
  <si>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</si>
  <si>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</si>
  <si>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</si>
  <si>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</si>
  <si>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</si>
  <si>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</si>
  <si>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</si>
  <si>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</si>
  <si>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</si>
  <si>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</si>
  <si>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</si>
  <si>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</si>
  <si>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</si>
  <si>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</si>
  <si>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</si>
  <si>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</si>
  <si>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</si>
  <si>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</si>
  <si>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</si>
  <si>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</si>
  <si>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</si>
  <si>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</si>
  <si>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</si>
  <si>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</si>
  <si>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</si>
  <si>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</si>
  <si>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</si>
  <si>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</si>
  <si>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</si>
  <si>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</si>
  <si>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</si>
  <si>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</si>
  <si>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</si>
  <si>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</si>
  <si>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</si>
  <si>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</si>
  <si>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</si>
  <si>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</si>
  <si>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37444A</t>
  </si>
  <si>
    <t>YELLOW BREAKFAST CUP AND SAUCER</t>
  </si>
  <si>
    <t>37444C</t>
  </si>
  <si>
    <t xml:space="preserve">PINK BREAKFAST CUP AND SAUCER </t>
  </si>
  <si>
    <t>PAPER CHAIN KIT RETROSPOT</t>
  </si>
  <si>
    <t>84971S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</si>
  <si>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</si>
  <si>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</si>
  <si>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</si>
  <si>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</si>
  <si>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</si>
  <si>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</si>
  <si>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</si>
  <si>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</si>
  <si>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</si>
  <si>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</si>
  <si>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</si>
  <si>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</si>
  <si>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</si>
  <si>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</si>
  <si>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</si>
  <si>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</si>
  <si>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</si>
  <si>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C536379</t>
  </si>
  <si>
    <t>D</t>
  </si>
  <si>
    <t>Discount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</si>
  <si>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</si>
  <si>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</si>
  <si>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</si>
  <si>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</si>
  <si>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</si>
  <si>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</si>
  <si>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</si>
  <si>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</si>
  <si>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</si>
  <si>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C536383</t>
  </si>
  <si>
    <t>35004C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</si>
  <si>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</si>
  <si>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</si>
  <si>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</si>
  <si>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</si>
  <si>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</si>
  <si>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</si>
  <si>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</si>
  <si>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</si>
  <si>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</si>
  <si>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</si>
  <si>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</si>
  <si>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</si>
  <si>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</si>
  <si>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</si>
  <si>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</si>
  <si>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</si>
  <si>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</si>
  <si>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 xml:space="preserve">ORGANISER WOOD ANTIQUE WHITE 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</si>
  <si>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</si>
  <si>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</si>
  <si>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</si>
  <si>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</si>
  <si>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</si>
  <si>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</si>
  <si>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</si>
  <si>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</si>
  <si>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</si>
  <si>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</si>
  <si>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</si>
  <si>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</si>
  <si>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</si>
  <si>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</si>
  <si>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</si>
  <si>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</si>
  <si>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</si>
  <si>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</si>
  <si>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</si>
  <si>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</si>
  <si>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</si>
  <si>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</si>
  <si>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</si>
  <si>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</si>
  <si>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</si>
  <si>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</si>
  <si>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</si>
  <si>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</si>
  <si>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</si>
  <si>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</si>
  <si>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</si>
  <si>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</si>
  <si>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</si>
  <si>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</si>
  <si>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</si>
  <si>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</si>
  <si>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</si>
  <si>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</si>
  <si>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</si>
  <si>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</si>
  <si>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</si>
  <si>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</si>
  <si>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</si>
  <si>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</si>
  <si>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</si>
  <si>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84030E</t>
  </si>
  <si>
    <t>ENGLISH ROSE HOT WATER BOTTLE</t>
  </si>
  <si>
    <t>PHOTO CUBE</t>
  </si>
  <si>
    <t>C536391</t>
  </si>
  <si>
    <t xml:space="preserve">PLASTERS IN TIN CIRCUS PARADE </t>
  </si>
  <si>
    <t xml:space="preserve">PACK OF 12 PINK PAISLEY TISSUES </t>
  </si>
  <si>
    <t xml:space="preserve">PACK OF 12 BLUE PAISLEY TISSUES </t>
  </si>
  <si>
    <t xml:space="preserve">PACK OF 12 RED RETROSPOT TISSUES </t>
  </si>
  <si>
    <t>CHICK GREY HOT WATER BOTTLE</t>
  </si>
  <si>
    <t xml:space="preserve">PLASTERS IN TIN VINTAGE PAISLEY 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</si>
  <si>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</si>
  <si>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</si>
  <si>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</si>
  <si>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</si>
  <si>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</si>
  <si>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</si>
  <si>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</si>
  <si>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</si>
  <si>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</si>
  <si>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</si>
  <si>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</si>
  <si>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</si>
  <si>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</si>
  <si>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</si>
  <si>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</si>
  <si>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</si>
  <si>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 xml:space="preserve">CLOTHES PEGS RETROSPOT PACK 24 </t>
  </si>
  <si>
    <t xml:space="preserve">HAND OVER THE CHOCOLATE   SIGN 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</si>
  <si>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</si>
  <si>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</si>
  <si>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</si>
  <si>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</si>
  <si>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</si>
  <si>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</si>
  <si>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 xml:space="preserve">IVORY EMBROIDERED QUILT </t>
  </si>
  <si>
    <t>35004B</t>
  </si>
  <si>
    <t>SET OF 3 BLACK FLYING DUCKS</t>
  </si>
  <si>
    <t>RED RETROSPOT MUG</t>
  </si>
  <si>
    <t>BABUSHKA LIGHTS STRING OF 10</t>
  </si>
  <si>
    <t>DOORMAT FAIRY CAKE</t>
  </si>
  <si>
    <t>total seals</t>
  </si>
  <si>
    <t>hour</t>
  </si>
  <si>
    <t>Sum of total seals</t>
  </si>
  <si>
    <t>Row Labels</t>
  </si>
  <si>
    <t>10 AM</t>
  </si>
  <si>
    <t>8 AM</t>
  </si>
  <si>
    <t>9 AM</t>
  </si>
  <si>
    <t>Grand Total</t>
  </si>
  <si>
    <t>WOODEN OWLS LIGHT GARLAND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</si>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</sst>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6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7" formatCode="m/d/yyyy\ 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7" formatCode="m/d/yyyy\ 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99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2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[project.xlsx]hr!PivotTable1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Seals by Hour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hr!$F$3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hr!$E$4:$E$7</c:f>
              <c:strCache>
                <c:ptCount val="3"/>
                <c:pt idx="0">
                  <c:v>10 AM</c:v>
                </c:pt>
                <c:pt idx="1">
                  <c:v>8 AM</c:v>
                </c:pt>
                <c:pt idx="2">
                  <c:v>9 AM</c:v>
                </c:pt>
              </c:strCache>
            </c:strRef>
          </c:cat>
          <c:val>
            <c:numRef>
              <c:f>hr!$F$4:$F$7</c:f>
              <c:numCache>
                <c:formatCode>General</c:formatCode>
                <c:ptCount val="3"/>
                <c:pt idx="0">
                  <c:v>4767.1299999999974</c:v>
                </c:pt>
                <c:pt idx="1">
                  <c:v>1383.8099999999997</c:v>
                </c:pt>
                <c:pt idx="2">
                  <c:v>7324.239999999998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B-455D-AAA0-B27071773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5010591"/>
        <c:axId val="675011071"/>
      </c:barChart>
      <c:catAx>
        <c:axId val="67501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011071"/>
        <c:crosses val="autoZero"/>
        <c:auto val="1"/>
        <c:lblAlgn val="ctr"/>
        <c:lblOffset val="100"/>
        <c:noMultiLvlLbl val="0"/>
      </c:catAx>
      <c:valAx>
        <c:axId val="67501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010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[project.xlsx]country!PivotTable5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country!$F$6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country!$E$7:$E$10</c:f>
              <c:strCache>
                <c:ptCount val="3"/>
                <c:pt idx="0">
                  <c:v>Australia</c:v>
                </c:pt>
                <c:pt idx="1">
                  <c:v>France</c:v>
                </c:pt>
                <c:pt idx="2">
                  <c:v>United Kingdom</c:v>
                </c:pt>
              </c:strCache>
            </c:strRef>
          </c:cat>
          <c:val>
            <c:numRef>
              <c:f>country!$F$7:$F$10</c:f>
              <c:numCache>
                <c:formatCode>General</c:formatCode>
                <c:ptCount val="3"/>
                <c:pt idx="0">
                  <c:v>358.25</c:v>
                </c:pt>
                <c:pt idx="1">
                  <c:v>855.86</c:v>
                </c:pt>
                <c:pt idx="2">
                  <c:v>12261.069999999996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3-4177-99A9-970442BF1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654943"/>
        <c:axId val="691152863"/>
      </c:barChart>
      <c:catAx>
        <c:axId val="67654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152863"/>
        <c:crosses val="autoZero"/>
        <c:auto val="1"/>
        <c:lblAlgn val="ctr"/>
        <c:lblOffset val="100"/>
        <c:noMultiLvlLbl val="0"/>
      </c:catAx>
      <c:valAx>
        <c:axId val="691152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5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[project.xlsx]description-seals!PivotTable4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(Sales)</a:t>
            </a:r>
          </a:p>
        </c:rich>
      </c:tx>
      <c:layout>
        <c:manualLayout>
          <c:xMode val="edge"/>
          <c:yMode val="edge"/>
          <c:x val="0.2884025366374604"/>
          <c:y val="0.106689575374133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'description-seals'!$G$5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'description-seals'!$F$6:$F$16</c:f>
              <c:strCache>
                <c:ptCount val="10"/>
                <c:pt idx="0">
                  <c:v>CHILLI LIGHTS</c:v>
                </c:pt>
                <c:pt idx="1">
                  <c:v>WOODEN OWLS LIGHT GARLAND</c:v>
                </c:pt>
                <c:pt idx="2">
                  <c:v>LIGHT GARLAND BUTTERFILES PINK</c:v>
                </c:pt>
                <c:pt idx="3">
                  <c:v>FAIRY TALE COTTAGE NIGHTLIGHT</c:v>
                </c:pt>
                <c:pt idx="4">
                  <c:v>RED TOADSTOOL LED NIGHT LIGHT</c:v>
                </c:pt>
                <c:pt idx="5">
                  <c:v>VICTORIAN SEWING BOX LARGE</c:v>
                </c:pt>
                <c:pt idx="6">
                  <c:v>JUMBO BAG RED RETROSPOT</c:v>
                </c:pt>
                <c:pt idx="7">
                  <c:v>WHITE HANGING HEART T-LIGHT HOLDER</c:v>
                </c:pt>
                <c:pt idx="8">
                  <c:v>HAND WARMER SCOTTY DOG DESIGN</c:v>
                </c:pt>
                <c:pt idx="9">
                  <c:v>SET OF 3 COLOURED  FLYING DUCKS</c:v>
                </c:pt>
              </c:strCache>
            </c:strRef>
          </c:cat>
          <c:val>
            <c:numRef>
              <c:f>'description-seals'!$G$6:$G$16</c:f>
              <c:numCache>
                <c:formatCode>General</c:formatCode>
                <c:ptCount val="10"/>
                <c:pt idx="0">
                  <c:v>733.43999999999994</c:v>
                </c:pt>
                <c:pt idx="1">
                  <c:v>647.04</c:v>
                </c:pt>
                <c:pt idx="2">
                  <c:v>647.04</c:v>
                </c:pt>
                <c:pt idx="3">
                  <c:v>626.4</c:v>
                </c:pt>
                <c:pt idx="4">
                  <c:v>582.9</c:v>
                </c:pt>
                <c:pt idx="5">
                  <c:v>350.4</c:v>
                </c:pt>
                <c:pt idx="6">
                  <c:v>330</c:v>
                </c:pt>
                <c:pt idx="7">
                  <c:v>306</c:v>
                </c:pt>
                <c:pt idx="8">
                  <c:v>278.40000000000003</c:v>
                </c:pt>
                <c:pt idx="9">
                  <c:v>251.25000000000003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0-48DB-83B1-2A7742933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201711"/>
        <c:axId val="675013471"/>
      </c:barChart>
      <c:catAx>
        <c:axId val="67201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013471"/>
        <c:crosses val="autoZero"/>
        <c:auto val="1"/>
        <c:lblAlgn val="ctr"/>
        <c:lblOffset val="100"/>
        <c:noMultiLvlLbl val="0"/>
      </c:catAx>
      <c:valAx>
        <c:axId val="675013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0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[project.xlsx]description-q!PivotTable6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Products(Quantity)</a:t>
            </a:r>
            <a:endParaRPr lang="en-US"/>
          </a:p>
        </c:rich>
      </c:tx>
      <c:layout>
        <c:manualLayout>
          <c:xMode val="edge"/>
          <c:yMode val="edge"/>
          <c:x val="0.31644624314084702"/>
          <c:y val="6.3855809024523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'description-q'!$G$7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'description-q'!$F$8:$F$18</c:f>
              <c:strCache>
                <c:ptCount val="10"/>
                <c:pt idx="0">
                  <c:v>RED TOADSTOOL LED NIGHT LIGHT</c:v>
                </c:pt>
                <c:pt idx="1">
                  <c:v>FAIRY TALE COTTAGE NIGHTLIGHT</c:v>
                </c:pt>
                <c:pt idx="2">
                  <c:v>DISCO BALL CHRISTMAS DECORATION</c:v>
                </c:pt>
                <c:pt idx="3">
                  <c:v>JUMBO BAG RED RETROSPOT</c:v>
                </c:pt>
                <c:pt idx="4">
                  <c:v>LIGHT GARLAND BUTTERFILES PINK</c:v>
                </c:pt>
                <c:pt idx="5">
                  <c:v>WOODEN OWLS LIGHT GARLAND</c:v>
                </c:pt>
                <c:pt idx="6">
                  <c:v>CHILLI LIGHTS</c:v>
                </c:pt>
                <c:pt idx="7">
                  <c:v>HAND WARMER SCOTTY DOG DESIGN</c:v>
                </c:pt>
                <c:pt idx="8">
                  <c:v>PACK OF 72 RETROSPOT CAKE CASES</c:v>
                </c:pt>
                <c:pt idx="9">
                  <c:v>HANGING HEART ZINC T-LIGHT HOLDER</c:v>
                </c:pt>
              </c:strCache>
            </c:strRef>
          </c:cat>
          <c:val>
            <c:numRef>
              <c:f>'description-q'!$G$8:$G$18</c:f>
              <c:numCache>
                <c:formatCode>General</c:formatCode>
                <c:ptCount val="10"/>
                <c:pt idx="0">
                  <c:v>458</c:v>
                </c:pt>
                <c:pt idx="1">
                  <c:v>432</c:v>
                </c:pt>
                <c:pt idx="2">
                  <c:v>288</c:v>
                </c:pt>
                <c:pt idx="3">
                  <c:v>200</c:v>
                </c:pt>
                <c:pt idx="4">
                  <c:v>192</c:v>
                </c:pt>
                <c:pt idx="5">
                  <c:v>192</c:v>
                </c:pt>
                <c:pt idx="6">
                  <c:v>192</c:v>
                </c:pt>
                <c:pt idx="7">
                  <c:v>144</c:v>
                </c:pt>
                <c:pt idx="8">
                  <c:v>144</c:v>
                </c:pt>
                <c:pt idx="9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54-4A49-8942-56CF0416D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7468015"/>
        <c:axId val="677461775"/>
      </c:barChart>
      <c:catAx>
        <c:axId val="677468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461775"/>
        <c:crosses val="autoZero"/>
        <c:auto val="1"/>
        <c:lblAlgn val="ctr"/>
        <c:lblOffset val="100"/>
        <c:noMultiLvlLbl val="0"/>
      </c:catAx>
      <c:valAx>
        <c:axId val="677461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46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[project.xlsx]id!PivotTable7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id!$F$7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id!$E$8:$E$18</c:f>
              <c:strCache>
                <c:ptCount val="10"/>
                <c:pt idx="0">
                  <c:v>16029</c:v>
                </c:pt>
                <c:pt idx="1">
                  <c:v>17511</c:v>
                </c:pt>
                <c:pt idx="2">
                  <c:v>17850</c:v>
                </c:pt>
                <c:pt idx="3">
                  <c:v>13408</c:v>
                </c:pt>
                <c:pt idx="4">
                  <c:v>12583</c:v>
                </c:pt>
                <c:pt idx="5">
                  <c:v>13767</c:v>
                </c:pt>
                <c:pt idx="6">
                  <c:v>18074</c:v>
                </c:pt>
                <c:pt idx="7">
                  <c:v>15311</c:v>
                </c:pt>
                <c:pt idx="8">
                  <c:v>14688</c:v>
                </c:pt>
                <c:pt idx="9">
                  <c:v>16098</c:v>
                </c:pt>
              </c:strCache>
            </c:strRef>
          </c:cat>
          <c:val>
            <c:numRef>
              <c:f>id!$F$8:$F$18</c:f>
              <c:numCache>
                <c:formatCode>General</c:formatCode>
                <c:ptCount val="10"/>
                <c:pt idx="0">
                  <c:v>3702.12</c:v>
                </c:pt>
                <c:pt idx="1">
                  <c:v>1825.74</c:v>
                </c:pt>
                <c:pt idx="2">
                  <c:v>1101.8000000000002</c:v>
                </c:pt>
                <c:pt idx="3">
                  <c:v>1024.6800000000003</c:v>
                </c:pt>
                <c:pt idx="4">
                  <c:v>855.86</c:v>
                </c:pt>
                <c:pt idx="5">
                  <c:v>507.88000000000011</c:v>
                </c:pt>
                <c:pt idx="6">
                  <c:v>489.6</c:v>
                </c:pt>
                <c:pt idx="7">
                  <c:v>445.33</c:v>
                </c:pt>
                <c:pt idx="8">
                  <c:v>444.98</c:v>
                </c:pt>
                <c:pt idx="9">
                  <c:v>430.59999999999997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E-4167-B84C-B40EBEFE3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649183"/>
        <c:axId val="67655423"/>
      </c:barChart>
      <c:catAx>
        <c:axId val="6764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55423"/>
        <c:crosses val="autoZero"/>
        <c:auto val="1"/>
        <c:lblAlgn val="ctr"/>
        <c:lblOffset val="100"/>
        <c:noMultiLvlLbl val="0"/>
      </c:catAx>
      <c:valAx>
        <c:axId val="6765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49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40968</xdr:colOff>
      <xdr:row>0</xdr:row>
      <xdr:rowOff>51211</xdr:rowOff>
    </xdr:from>
    <xdr:to>
      <xdr:col>18</xdr:col>
      <xdr:colOff>880807</xdr:colOff>
      <xdr:row>4</xdr:row>
      <xdr:rowOff>27346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401E811-845C-D242-F3A2-00A5218B815B}"/>
            </a:ext>
          </a:extLst>
        </xdr:cNvPr>
        <xdr:cNvSpPr/>
      </xdr:nvSpPr>
      <xdr:spPr>
        <a:xfrm>
          <a:off x="40968" y="51211"/>
          <a:ext cx="12362016" cy="754522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800" b="1">
              <a:solidFill>
                <a:schemeClr val="bg1"/>
              </a:solidFill>
            </a:rPr>
            <a:t>Sales</a:t>
          </a:r>
          <a:r>
            <a:rPr lang="en-US" sz="2800" b="1" baseline="0">
              <a:solidFill>
                <a:schemeClr val="bg1"/>
              </a:solidFill>
            </a:rPr>
            <a:t> Dashboard</a:t>
          </a:r>
        </a:p>
        <a:p>
          <a:pPr algn="ctr"/>
          <a:r>
            <a:rPr lang="en-US" sz="1200" b="1">
              <a:solidFill>
                <a:schemeClr val="tx1"/>
              </a:solidFill>
            </a:rPr>
            <a:t>December</a:t>
          </a:r>
          <a:r>
            <a:rPr lang="en-US" sz="1200" b="1" baseline="0">
              <a:solidFill>
                <a:schemeClr val="tx1"/>
              </a:solidFill>
            </a:rPr>
            <a:t> sales overview</a:t>
          </a:r>
          <a:endParaRPr 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18948</xdr:colOff>
      <xdr:row>4</xdr:row>
      <xdr:rowOff>66674</xdr:rowOff>
    </xdr:from>
    <xdr:to>
      <xdr:col>11</xdr:col>
      <xdr:colOff>76098</xdr:colOff>
      <xdr:row>8</xdr:row>
      <xdr:rowOff>28574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E9772E6-D2A4-2A7E-12DE-48E00119D9D7}"/>
            </a:ext>
          </a:extLst>
        </xdr:cNvPr>
        <xdr:cNvSpPr/>
      </xdr:nvSpPr>
      <xdr:spPr>
        <a:xfrm>
          <a:off x="4935077" y="845061"/>
          <a:ext cx="2371827" cy="975852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solidFill>
                <a:schemeClr val="tx1">
                  <a:lumMod val="95000"/>
                  <a:lumOff val="5000"/>
                </a:schemeClr>
              </a:solidFill>
            </a:rPr>
            <a:t>Total sales</a:t>
          </a:r>
          <a:r>
            <a:rPr lang="en-US" sz="2000">
              <a:solidFill>
                <a:schemeClr val="tx1">
                  <a:lumMod val="95000"/>
                  <a:lumOff val="5000"/>
                </a:schemeClr>
              </a:solidFill>
            </a:rPr>
            <a:t>:</a:t>
          </a:r>
        </a:p>
        <a:p>
          <a:pPr algn="ctr"/>
          <a:r>
            <a:rPr lang="en-US" sz="2800" b="1">
              <a:solidFill>
                <a:srgbClr val="002060"/>
              </a:solidFill>
            </a:rPr>
            <a:t>13,475</a:t>
          </a:r>
        </a:p>
      </xdr:txBody>
    </xdr:sp>
    <xdr:clientData/>
  </xdr:twoCellAnchor>
  <xdr:twoCellAnchor>
    <xdr:from>
      <xdr:col>0</xdr:col>
      <xdr:colOff>20484</xdr:colOff>
      <xdr:row>7</xdr:row>
      <xdr:rowOff>159568</xdr:rowOff>
    </xdr:from>
    <xdr:to>
      <xdr:col>8</xdr:col>
      <xdr:colOff>40969</xdr:colOff>
      <xdr:row>24</xdr:row>
      <xdr:rowOff>22121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00D4719-A11E-427F-8520-23E23AF100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41582</xdr:colOff>
      <xdr:row>7</xdr:row>
      <xdr:rowOff>182920</xdr:rowOff>
    </xdr:from>
    <xdr:to>
      <xdr:col>18</xdr:col>
      <xdr:colOff>839839</xdr:colOff>
      <xdr:row>24</xdr:row>
      <xdr:rowOff>93099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E6D85D2-AA7B-485D-BAB2-91D6E4F2C8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20483</xdr:colOff>
      <xdr:row>24</xdr:row>
      <xdr:rowOff>40966</xdr:rowOff>
    </xdr:from>
    <xdr:to>
      <xdr:col>8</xdr:col>
      <xdr:colOff>40968</xdr:colOff>
      <xdr:row>39</xdr:row>
      <xdr:rowOff>174113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8177F53-59CB-4DE9-8F8F-9B1A18AF4C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40968</xdr:colOff>
      <xdr:row>24</xdr:row>
      <xdr:rowOff>92177</xdr:rowOff>
    </xdr:from>
    <xdr:to>
      <xdr:col>18</xdr:col>
      <xdr:colOff>850081</xdr:colOff>
      <xdr:row>39</xdr:row>
      <xdr:rowOff>163870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45433C9-CBAD-4B2D-BE89-7714A2E96C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594032</xdr:colOff>
      <xdr:row>40</xdr:row>
      <xdr:rowOff>20485</xdr:rowOff>
    </xdr:from>
    <xdr:to>
      <xdr:col>14</xdr:col>
      <xdr:colOff>20484</xdr:colOff>
      <xdr:row>54</xdr:row>
      <xdr:rowOff>39330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F6A4AC4-C08B-4AE9-A3A3-41EC7B18DC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ni" refreshedDate="46147.639595138891" backgroundQuery="1" createdVersion="8" refreshedVersion="8" minRefreshableVersion="3" recordCount="0" supportSubquery="1" supportAdvancedDrill="1" xr:uid="{ACFFAD48-CBBF-499E-A622-6DC5B2B4B9DA}">
  <cacheSource type="external" connectionId="1"/>
  <cacheFields count="2">
    <cacheField name="[Table1].[Country].[Country]" caption="Country" numFmtId="0" hierarchy="9" level="1">
      <sharedItems count="3">
        <s v="Australia"/>
        <s v="France"/>
        <s v="United Kingdom"/>
      </sharedItems>
    </cacheField>
    <cacheField name="[Measures].[Sum of total seals]" caption="Sum of total seals" numFmtId="0" hierarchy="14" level="32767"/>
  </cacheFields>
  <cacheHierarchies count="16">
    <cacheHierarchy uniqueName="[Table1].[hour]" caption="hour" attribute="1" defaultMemberUniqueName="[Table1].[hour].[All]" allUniqueName="[Table1].[hour].[All]" dimensionUniqueName="[Table1]" displayFolder="" count="0" memberValueDatatype="130" unbalanced="0"/>
    <cacheHierarchy uniqueName="[Table1].[total seals]" caption="total seals" attribute="1" defaultMemberUniqueName="[Table1].[total seals].[All]" allUniqueName="[Table1].[total seals].[All]" dimensionUniqueName="[Table1]" displayFolder="" count="0" memberValueDatatype="5" unbalanced="0"/>
    <cacheHierarchy uniqueName="[Table1].[InvoiceNo]" caption="InvoiceNo" attribute="1" defaultMemberUniqueName="[Table1].[InvoiceNo].[All]" allUniqueName="[Table1].[InvoiceNo].[All]" dimensionUniqueName="[Table1]" displayFolder="" count="0" memberValueDatatype="130" unbalanced="0"/>
    <cacheHierarchy uniqueName="[Table1].[StockCode]" caption="StockCode" attribute="1" defaultMemberUniqueName="[Table1].[StockCode].[All]" allUniqueName="[Table1].[StockCode].[All]" dimensionUniqueName="[Table1]" displayFolder="" count="0" memberValueDatatype="130" unbalanced="0"/>
    <cacheHierarchy uniqueName="[Table1].[Description]" caption="Description" attribute="1" defaultMemberUniqueName="[Table1].[Description].[All]" allUniqueName="[Table1].[Description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InvoiceDate]" caption="InvoiceDate" attribute="1" time="1" defaultMemberUniqueName="[Table1].[InvoiceDate].[All]" allUniqueName="[Table1].[InvoiceDate].[All]" dimensionUniqueName="[Table1]" displayFolder="" count="0" memberValueDatatype="7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Country]" caption="Country" attribute="1" defaultMemberUniqueName="[Table1].[Country].[All]" allUniqueName="[Table1].[Count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InvoiceDate (Hour)]" caption="InvoiceDate (Hour)" attribute="1" defaultMemberUniqueName="[Table1].[InvoiceDate (Hour)].[All]" allUniqueName="[Table1].[InvoiceDate (Hour)].[All]" dimensionUniqueName="[Table1]" displayFolder="" count="0" memberValueDatatype="130" unbalanced="0"/>
    <cacheHierarchy uniqueName="[Table1].[InvoiceDate (Minute)]" caption="InvoiceDate (Minute)" attribute="1" defaultMemberUniqueName="[Table1].[InvoiceDate (Minute)].[All]" allUniqueName="[Table1].[InvoiceDate (Minute)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 seals]" caption="Sum of total seal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ni" refreshedDate="46147.638819444444" backgroundQuery="1" createdVersion="8" refreshedVersion="8" minRefreshableVersion="3" recordCount="0" supportSubquery="1" supportAdvancedDrill="1" xr:uid="{F3677EC6-F1B2-4280-83FB-3F7547952058}">
  <cacheSource type="external" connectionId="1"/>
  <cacheFields count="2">
    <cacheField name="[Table1].[Description].[Description]" caption="Description" numFmtId="0" hierarchy="4" level="1">
      <sharedItems count="10">
        <s v="CHILLI LIGHTS"/>
        <s v="FAIRY TALE COTTAGE NIGHTLIGHT"/>
        <s v="HAND WARMER SCOTTY DOG DESIGN"/>
        <s v="JUMBO BAG RED RETROSPOT"/>
        <s v="LIGHT GARLAND BUTTERFILES PINK"/>
        <s v="RED TOADSTOOL LED NIGHT LIGHT"/>
        <s v="SET OF 3 COLOURED  FLYING DUCKS"/>
        <s v="VICTORIAN SEWING BOX LARGE"/>
        <s v="WHITE HANGING HEART T-LIGHT HOLDER"/>
        <s v="WOODEN OWLS LIGHT GARLAND"/>
      </sharedItems>
    </cacheField>
    <cacheField name="[Measures].[Sum of total seals]" caption="Sum of total seals" numFmtId="0" hierarchy="14" level="32767"/>
  </cacheFields>
  <cacheHierarchies count="16">
    <cacheHierarchy uniqueName="[Table1].[hour]" caption="hour" attribute="1" defaultMemberUniqueName="[Table1].[hour].[All]" allUniqueName="[Table1].[hour].[All]" dimensionUniqueName="[Table1]" displayFolder="" count="0" memberValueDatatype="130" unbalanced="0"/>
    <cacheHierarchy uniqueName="[Table1].[total seals]" caption="total seals" attribute="1" defaultMemberUniqueName="[Table1].[total seals].[All]" allUniqueName="[Table1].[total seals].[All]" dimensionUniqueName="[Table1]" displayFolder="" count="0" memberValueDatatype="5" unbalanced="0"/>
    <cacheHierarchy uniqueName="[Table1].[InvoiceNo]" caption="InvoiceNo" attribute="1" defaultMemberUniqueName="[Table1].[InvoiceNo].[All]" allUniqueName="[Table1].[InvoiceNo].[All]" dimensionUniqueName="[Table1]" displayFolder="" count="0" memberValueDatatype="130" unbalanced="0"/>
    <cacheHierarchy uniqueName="[Table1].[StockCode]" caption="StockCode" attribute="1" defaultMemberUniqueName="[Table1].[StockCode].[All]" allUniqueName="[Table1].[StockCode].[All]" dimensionUniqueName="[Table1]" displayFolder="" count="0" memberValueDatatype="130" unbalanced="0"/>
    <cacheHierarchy uniqueName="[Table1].[Description]" caption="Description" attribute="1" defaultMemberUniqueName="[Table1].[Description].[All]" allUniqueName="[Table1].[Descript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InvoiceDate]" caption="InvoiceDate" attribute="1" time="1" defaultMemberUniqueName="[Table1].[InvoiceDate].[All]" allUniqueName="[Table1].[InvoiceDate].[All]" dimensionUniqueName="[Table1]" displayFolder="" count="0" memberValueDatatype="7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InvoiceDate (Hour)]" caption="InvoiceDate (Hour)" attribute="1" defaultMemberUniqueName="[Table1].[InvoiceDate (Hour)].[All]" allUniqueName="[Table1].[InvoiceDate (Hour)].[All]" dimensionUniqueName="[Table1]" displayFolder="" count="0" memberValueDatatype="130" unbalanced="0"/>
    <cacheHierarchy uniqueName="[Table1].[InvoiceDate (Minute)]" caption="InvoiceDate (Minute)" attribute="1" defaultMemberUniqueName="[Table1].[InvoiceDate (Minute)].[All]" allUniqueName="[Table1].[InvoiceDate (Minute)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 seals]" caption="Sum of total seal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ni" refreshedDate="46147.635283564814" backgroundQuery="1" createdVersion="8" refreshedVersion="8" minRefreshableVersion="3" recordCount="0" supportSubquery="1" supportAdvancedDrill="1" xr:uid="{62A37299-D1E8-4F5F-B72C-FD371B25A04D}">
  <cacheSource type="external" connectionId="1"/>
  <cacheFields count="2">
    <cacheField name="[Measures].[Sum of total seals]" caption="Sum of total seals" numFmtId="0" hierarchy="14" level="32767"/>
    <cacheField name="[Table1].[hour].[hour]" caption="hour" numFmtId="0" level="1">
      <sharedItems count="3">
        <s v="10 AM"/>
        <s v="8 AM"/>
        <s v="9 AM"/>
      </sharedItems>
    </cacheField>
  </cacheFields>
  <cacheHierarchies count="16">
    <cacheHierarchy uniqueName="[Table1].[hour]" caption="hour" attribute="1" defaultMemberUniqueName="[Table1].[hour].[All]" allUniqueName="[Table1].[hour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total seals]" caption="total seals" attribute="1" defaultMemberUniqueName="[Table1].[total seals].[All]" allUniqueName="[Table1].[total seals].[All]" dimensionUniqueName="[Table1]" displayFolder="" count="0" memberValueDatatype="5" unbalanced="0"/>
    <cacheHierarchy uniqueName="[Table1].[InvoiceNo]" caption="InvoiceNo" attribute="1" defaultMemberUniqueName="[Table1].[InvoiceNo].[All]" allUniqueName="[Table1].[InvoiceNo].[All]" dimensionUniqueName="[Table1]" displayFolder="" count="0" memberValueDatatype="130" unbalanced="0"/>
    <cacheHierarchy uniqueName="[Table1].[StockCode]" caption="StockCode" attribute="1" defaultMemberUniqueName="[Table1].[StockCode].[All]" allUniqueName="[Table1].[StockCode].[All]" dimensionUniqueName="[Table1]" displayFolder="" count="0" memberValueDatatype="130" unbalanced="0"/>
    <cacheHierarchy uniqueName="[Table1].[Description]" caption="Description" attribute="1" defaultMemberUniqueName="[Table1].[Description].[All]" allUniqueName="[Table1].[Description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InvoiceDate]" caption="InvoiceDate" attribute="1" time="1" defaultMemberUniqueName="[Table1].[InvoiceDate].[All]" allUniqueName="[Table1].[InvoiceDate].[All]" dimensionUniqueName="[Table1]" displayFolder="" count="0" memberValueDatatype="7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InvoiceDate (Hour)]" caption="InvoiceDate (Hour)" attribute="1" defaultMemberUniqueName="[Table1].[InvoiceDate (Hour)].[All]" allUniqueName="[Table1].[InvoiceDate (Hour)].[All]" dimensionUniqueName="[Table1]" displayFolder="" count="0" memberValueDatatype="130" unbalanced="0"/>
    <cacheHierarchy uniqueName="[Table1].[InvoiceDate (Minute)]" caption="InvoiceDate (Minute)" attribute="1" defaultMemberUniqueName="[Table1].[InvoiceDate (Minute)].[All]" allUniqueName="[Table1].[InvoiceDate (Minute)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 seals]" caption="Sum of total seal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ni" refreshedDate="46147.640902662039" backgroundQuery="1" createdVersion="8" refreshedVersion="8" minRefreshableVersion="3" recordCount="0" supportSubquery="1" supportAdvancedDrill="1" xr:uid="{6DDE190A-2C84-43B2-9648-64B5228AA78F}">
  <cacheSource type="external" connectionId="1"/>
  <cacheFields count="2">
    <cacheField name="[Table1].[Description].[Description]" caption="Description" numFmtId="0" hierarchy="4" level="1">
      <sharedItems count="10">
        <s v="CHILLI LIGHTS"/>
        <s v="DISCO BALL CHRISTMAS DECORATION"/>
        <s v="FAIRY TALE COTTAGE NIGHTLIGHT"/>
        <s v="HAND WARMER SCOTTY DOG DESIGN"/>
        <s v="HANGING HEART ZINC T-LIGHT HOLDER"/>
        <s v="JUMBO BAG RED RETROSPOT"/>
        <s v="LIGHT GARLAND BUTTERFILES PINK"/>
        <s v="PACK OF 72 RETROSPOT CAKE CASES"/>
        <s v="RED TOADSTOOL LED NIGHT LIGHT"/>
        <s v="WOODEN OWLS LIGHT GARLAND"/>
      </sharedItems>
    </cacheField>
    <cacheField name="[Measures].[Sum of Quantity]" caption="Sum of Quantity" numFmtId="0" hierarchy="15" level="32767"/>
  </cacheFields>
  <cacheHierarchies count="16">
    <cacheHierarchy uniqueName="[Table1].[hour]" caption="hour" attribute="1" defaultMemberUniqueName="[Table1].[hour].[All]" allUniqueName="[Table1].[hour].[All]" dimensionUniqueName="[Table1]" displayFolder="" count="0" memberValueDatatype="130" unbalanced="0"/>
    <cacheHierarchy uniqueName="[Table1].[total seals]" caption="total seals" attribute="1" defaultMemberUniqueName="[Table1].[total seals].[All]" allUniqueName="[Table1].[total seals].[All]" dimensionUniqueName="[Table1]" displayFolder="" count="0" memberValueDatatype="5" unbalanced="0"/>
    <cacheHierarchy uniqueName="[Table1].[InvoiceNo]" caption="InvoiceNo" attribute="1" defaultMemberUniqueName="[Table1].[InvoiceNo].[All]" allUniqueName="[Table1].[InvoiceNo].[All]" dimensionUniqueName="[Table1]" displayFolder="" count="0" memberValueDatatype="130" unbalanced="0"/>
    <cacheHierarchy uniqueName="[Table1].[StockCode]" caption="StockCode" attribute="1" defaultMemberUniqueName="[Table1].[StockCode].[All]" allUniqueName="[Table1].[StockCode].[All]" dimensionUniqueName="[Table1]" displayFolder="" count="0" memberValueDatatype="130" unbalanced="0"/>
    <cacheHierarchy uniqueName="[Table1].[Description]" caption="Description" attribute="1" defaultMemberUniqueName="[Table1].[Description].[All]" allUniqueName="[Table1].[Descript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InvoiceDate]" caption="InvoiceDate" attribute="1" time="1" defaultMemberUniqueName="[Table1].[InvoiceDate].[All]" allUniqueName="[Table1].[InvoiceDate].[All]" dimensionUniqueName="[Table1]" displayFolder="" count="0" memberValueDatatype="7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InvoiceDate (Hour)]" caption="InvoiceDate (Hour)" attribute="1" defaultMemberUniqueName="[Table1].[InvoiceDate (Hour)].[All]" allUniqueName="[Table1].[InvoiceDate (Hour)].[All]" dimensionUniqueName="[Table1]" displayFolder="" count="0" memberValueDatatype="130" unbalanced="0"/>
    <cacheHierarchy uniqueName="[Table1].[InvoiceDate (Minute)]" caption="InvoiceDate (Minute)" attribute="1" defaultMemberUniqueName="[Table1].[InvoiceDate (Minute)].[All]" allUniqueName="[Table1].[InvoiceDate (Minute)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 seals]" caption="Sum of total seals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Quantity]" caption="Sum of Quantity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ni" refreshedDate="46147.64237523148" backgroundQuery="1" createdVersion="8" refreshedVersion="8" minRefreshableVersion="3" recordCount="0" supportSubquery="1" supportAdvancedDrill="1" xr:uid="{BDA2E22E-C300-4DC8-BF7E-1E0A01256B3B}">
  <cacheSource type="external" connectionId="1"/>
  <cacheFields count="2">
    <cacheField name="[Table1].[CustomerID].[CustomerID]" caption="CustomerID" numFmtId="0" hierarchy="8" level="1">
      <sharedItems containsSemiMixedTypes="0" containsString="0" containsNumber="1" containsInteger="1" minValue="12583" maxValue="18074" count="10">
        <n v="12583"/>
        <n v="13408"/>
        <n v="13767"/>
        <n v="14688"/>
        <n v="15311"/>
        <n v="16029"/>
        <n v="16098"/>
        <n v="17511"/>
        <n v="17850"/>
        <n v="18074"/>
      </sharedItems>
      <extLst>
        <ext xmlns:x15="http://schemas.microsoft.com/office/spreadsheetml/2010/11/main" uri="{4F2E5C28-24EA-4eb8-9CBF-B6C8F9C3D259}">
          <x15:cachedUniqueNames>
            <x15:cachedUniqueName index="0" name="[Table1].[CustomerID].&amp;[12583]"/>
            <x15:cachedUniqueName index="1" name="[Table1].[CustomerID].&amp;[13408]"/>
            <x15:cachedUniqueName index="2" name="[Table1].[CustomerID].&amp;[13767]"/>
            <x15:cachedUniqueName index="3" name="[Table1].[CustomerID].&amp;[14688]"/>
            <x15:cachedUniqueName index="4" name="[Table1].[CustomerID].&amp;[15311]"/>
            <x15:cachedUniqueName index="5" name="[Table1].[CustomerID].&amp;[16029]"/>
            <x15:cachedUniqueName index="6" name="[Table1].[CustomerID].&amp;[16098]"/>
            <x15:cachedUniqueName index="7" name="[Table1].[CustomerID].&amp;[17511]"/>
            <x15:cachedUniqueName index="8" name="[Table1].[CustomerID].&amp;[17850]"/>
            <x15:cachedUniqueName index="9" name="[Table1].[CustomerID].&amp;[18074]"/>
          </x15:cachedUniqueNames>
        </ext>
      </extLst>
    </cacheField>
    <cacheField name="[Measures].[Sum of total seals]" caption="Sum of total seals" numFmtId="0" hierarchy="14" level="32767"/>
  </cacheFields>
  <cacheHierarchies count="16">
    <cacheHierarchy uniqueName="[Table1].[hour]" caption="hour" attribute="1" defaultMemberUniqueName="[Table1].[hour].[All]" allUniqueName="[Table1].[hour].[All]" dimensionUniqueName="[Table1]" displayFolder="" count="0" memberValueDatatype="130" unbalanced="0"/>
    <cacheHierarchy uniqueName="[Table1].[total seals]" caption="total seals" attribute="1" defaultMemberUniqueName="[Table1].[total seals].[All]" allUniqueName="[Table1].[total seals].[All]" dimensionUniqueName="[Table1]" displayFolder="" count="0" memberValueDatatype="5" unbalanced="0"/>
    <cacheHierarchy uniqueName="[Table1].[InvoiceNo]" caption="InvoiceNo" attribute="1" defaultMemberUniqueName="[Table1].[InvoiceNo].[All]" allUniqueName="[Table1].[InvoiceNo].[All]" dimensionUniqueName="[Table1]" displayFolder="" count="0" memberValueDatatype="130" unbalanced="0"/>
    <cacheHierarchy uniqueName="[Table1].[StockCode]" caption="StockCode" attribute="1" defaultMemberUniqueName="[Table1].[StockCode].[All]" allUniqueName="[Table1].[StockCode].[All]" dimensionUniqueName="[Table1]" displayFolder="" count="0" memberValueDatatype="130" unbalanced="0"/>
    <cacheHierarchy uniqueName="[Table1].[Description]" caption="Description" attribute="1" defaultMemberUniqueName="[Table1].[Description].[All]" allUniqueName="[Table1].[Description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InvoiceDate]" caption="InvoiceDate" attribute="1" time="1" defaultMemberUniqueName="[Table1].[InvoiceDate].[All]" allUniqueName="[Table1].[InvoiceDate].[All]" dimensionUniqueName="[Table1]" displayFolder="" count="0" memberValueDatatype="7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CustomerID]" caption="CustomerID" attribute="1" defaultMemberUniqueName="[Table1].[CustomerID].[All]" allUniqueName="[Table1].[CustomerID].[All]" dimensionUniqueName="[Table1]" displayFolder="" count="2" memberValueDatatype="20" unbalanced="0">
      <fieldsUsage count="2">
        <fieldUsage x="-1"/>
        <fieldUsage x="0"/>
      </fieldsUsage>
    </cacheHierarchy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InvoiceDate (Hour)]" caption="InvoiceDate (Hour)" attribute="1" defaultMemberUniqueName="[Table1].[InvoiceDate (Hour)].[All]" allUniqueName="[Table1].[InvoiceDate (Hour)].[All]" dimensionUniqueName="[Table1]" displayFolder="" count="0" memberValueDatatype="130" unbalanced="0"/>
    <cacheHierarchy uniqueName="[Table1].[InvoiceDate (Minute)]" caption="InvoiceDate (Minute)" attribute="1" defaultMemberUniqueName="[Table1].[InvoiceDate (Minute)].[All]" allUniqueName="[Table1].[InvoiceDate (Minute)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 seals]" caption="Sum of total seal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ni" refreshedDate="46147.656522685182" backgroundQuery="1" createdVersion="8" refreshedVersion="8" minRefreshableVersion="3" recordCount="0" supportSubquery="1" supportAdvancedDrill="1" xr:uid="{56828DB4-161A-4B3E-AD5F-D60801D260B1}">
  <cacheSource type="external" connectionId="1"/>
  <cacheFields count="2">
    <cacheField name="[Table1].[hour].[hour]" caption="hour" numFmtId="0" level="1">
      <sharedItems count="3">
        <s v="10 AM"/>
        <s v="8 AM"/>
        <s v="9 AM"/>
      </sharedItems>
    </cacheField>
    <cacheField name="[Measures].[Sum of total seals]" caption="Sum of total seals" numFmtId="0" hierarchy="14" level="32767"/>
  </cacheFields>
  <cacheHierarchies count="16">
    <cacheHierarchy uniqueName="[Table1].[hour]" caption="hour" attribute="1" defaultMemberUniqueName="[Table1].[hour].[All]" allUniqueName="[Table1].[hour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total seals]" caption="total seals" attribute="1" defaultMemberUniqueName="[Table1].[total seals].[All]" allUniqueName="[Table1].[total seals].[All]" dimensionUniqueName="[Table1]" displayFolder="" count="0" memberValueDatatype="5" unbalanced="0"/>
    <cacheHierarchy uniqueName="[Table1].[InvoiceNo]" caption="InvoiceNo" attribute="1" defaultMemberUniqueName="[Table1].[InvoiceNo].[All]" allUniqueName="[Table1].[InvoiceNo].[All]" dimensionUniqueName="[Table1]" displayFolder="" count="0" memberValueDatatype="130" unbalanced="0"/>
    <cacheHierarchy uniqueName="[Table1].[StockCode]" caption="StockCode" attribute="1" defaultMemberUniqueName="[Table1].[StockCode].[All]" allUniqueName="[Table1].[StockCode].[All]" dimensionUniqueName="[Table1]" displayFolder="" count="0" memberValueDatatype="130" unbalanced="0"/>
    <cacheHierarchy uniqueName="[Table1].[Description]" caption="Description" attribute="1" defaultMemberUniqueName="[Table1].[Description].[All]" allUniqueName="[Table1].[Description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InvoiceDate]" caption="InvoiceDate" attribute="1" time="1" defaultMemberUniqueName="[Table1].[InvoiceDate].[All]" allUniqueName="[Table1].[InvoiceDate].[All]" dimensionUniqueName="[Table1]" displayFolder="" count="0" memberValueDatatype="7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InvoiceDate (Hour)]" caption="InvoiceDate (Hour)" attribute="1" defaultMemberUniqueName="[Table1].[InvoiceDate (Hour)].[All]" allUniqueName="[Table1].[InvoiceDate (Hour)].[All]" dimensionUniqueName="[Table1]" displayFolder="" count="0" memberValueDatatype="130" unbalanced="0"/>
    <cacheHierarchy uniqueName="[Table1].[InvoiceDate (Minute)]" caption="InvoiceDate (Minute)" attribute="1" defaultMemberUniqueName="[Table1].[InvoiceDate (Minute)].[All]" allUniqueName="[Table1].[InvoiceDate (Minute)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 seals]" caption="Sum of total seal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060B2B-1CFC-4DFB-B8EC-F63ED23D102F}" name="PivotTable3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G5:H9" firstHeaderRow="1" firstDataRow="1" firstDataCol="1"/>
  <pivotFields count="2">
    <pivotField dataField="1" subtotalTop="0" showAll="0" defaultSubtotal="0"/>
    <pivotField axis="axisRow" allDrilled="1" subtotalTop="0" showAll="0" sortType="ascending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eals" fld="0" baseField="0" baseItem="0"/>
  </dataField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c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622C21-0CB7-4FC6-9A07-79EC3EA9BBF5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E3:F7" firstHeaderRow="1" firstDataRow="1" firstDataCol="1"/>
  <pivotFields count="2">
    <pivotField axis="axisRow" allDrilled="1" subtotalTop="0" showAll="0" sortType="ascending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eals" fld="1" baseField="0" baseItem="0"/>
  </dataFields>
  <chartFormats count="1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c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EDF4FA-8664-4041-AAA9-D08C58A4E321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E7:F18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5"/>
    </i>
    <i>
      <x v="7"/>
    </i>
    <i>
      <x v="8"/>
    </i>
    <i>
      <x v="1"/>
    </i>
    <i>
      <x/>
    </i>
    <i>
      <x v="2"/>
    </i>
    <i>
      <x v="9"/>
    </i>
    <i>
      <x v="4"/>
    </i>
    <i>
      <x v="3"/>
    </i>
    <i>
      <x v="6"/>
    </i>
    <i t="grand">
      <x/>
    </i>
  </rowItems>
  <colItems count="1">
    <i/>
  </colItems>
  <dataFields count="1">
    <dataField name="Sum of total seals" fld="1" baseField="0" baseItem="0"/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4">
      <autoFilter ref="A1">
        <filterColumn colId="0">
          <top10 val="10" filterVal="10"/>
        </filterColumn>
      </autoFilter>
    </filter>
  </filters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c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57F6D8-EA78-4AC2-A61B-714E59EB6E6E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F7:G18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8"/>
    </i>
    <i>
      <x v="2"/>
    </i>
    <i>
      <x v="1"/>
    </i>
    <i>
      <x v="5"/>
    </i>
    <i>
      <x v="6"/>
    </i>
    <i>
      <x v="9"/>
    </i>
    <i>
      <x/>
    </i>
    <i>
      <x v="3"/>
    </i>
    <i>
      <x v="7"/>
    </i>
    <i>
      <x v="4"/>
    </i>
    <i t="grand">
      <x/>
    </i>
  </rowItems>
  <colItems count="1">
    <i/>
  </colItems>
  <dataFields count="1">
    <dataField name="Sum of Quantity" fld="1" baseField="0" baseItem="0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5">
      <autoFilter ref="A1">
        <filterColumn colId="0">
          <top10 val="10" filterVal="10"/>
        </filterColumn>
      </autoFilter>
    </filter>
  </filter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c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C361A9-B571-4418-8185-A3E42268DD9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E6:F10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eals" fld="1" baseField="0" baseItem="0"/>
  </dataFields>
  <chartFormats count="2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c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66265D-112D-45D5-8A94-628DFF86B3A8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F5:G16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/>
    </i>
    <i>
      <x v="9"/>
    </i>
    <i>
      <x v="4"/>
    </i>
    <i>
      <x v="1"/>
    </i>
    <i>
      <x v="5"/>
    </i>
    <i>
      <x v="7"/>
    </i>
    <i>
      <x v="3"/>
    </i>
    <i>
      <x v="8"/>
    </i>
    <i>
      <x v="2"/>
    </i>
    <i>
      <x v="6"/>
    </i>
    <i t="grand">
      <x/>
    </i>
  </rowItems>
  <colItems count="1">
    <i/>
  </colItems>
  <dataFields count="1">
    <dataField name="Sum of total seals" fld="1" baseField="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4">
      <autoFilter ref="A1">
        <filterColumn colId="0">
          <top10 val="10" filterVal="10"/>
        </filterColumn>
      </autoFilter>
    </filter>
  </filter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c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D53E10-C486-41F6-AC0E-8C1104F3DAB1}" name="Table1" displayName="Table1" ref="G2:P307" totalsRowCount="1" headerRowDxfId="21" dataDxfId="20">
  <autoFilter ref="G2:P306" xr:uid="{35D53E10-C486-41F6-AC0E-8C1104F3DAB1}"/>
  <tableColumns count="10">
    <tableColumn id="1" xr3:uid="{819BEEC3-D356-4D1D-9245-B453CD101277}" name="hour" dataDxfId="19" totalsRowDxfId="9">
      <calculatedColumnFormula>TEXT(Table1[[#This Row],[InvoiceDate]],"H AM/PM")</calculatedColumnFormula>
    </tableColumn>
    <tableColumn id="2" xr3:uid="{C6725914-9B68-4193-90B2-E8307154AC78}" name="total seals" totalsRowFunction="custom" dataDxfId="18" totalsRowDxfId="8">
      <calculatedColumnFormula>N3*L3</calculatedColumnFormula>
      <totalsRowFormula>SUM(Table1[total seals])</totalsRowFormula>
    </tableColumn>
    <tableColumn id="3" xr3:uid="{7658C723-4660-49E3-85F3-C5A3052E3E68}" name="InvoiceNo" totalsRowFunction="custom" dataDxfId="17" totalsRowDxfId="7">
      <totalsRowFormula>SUM(Table1[InvoiceNo])</totalsRowFormula>
    </tableColumn>
    <tableColumn id="4" xr3:uid="{701A1D62-D91B-4C9A-BEAB-179C6258999F}" name="StockCode" dataDxfId="16" totalsRowDxfId="6"/>
    <tableColumn id="5" xr3:uid="{AA4AB267-580E-4131-A89C-BCB6CB97F3E7}" name="Description" dataDxfId="15" totalsRowDxfId="5"/>
    <tableColumn id="6" xr3:uid="{7555D1FC-1CB6-4722-BBAC-E70ECD75CFDC}" name="Quantity" dataDxfId="14" totalsRowDxfId="4"/>
    <tableColumn id="7" xr3:uid="{21D51D59-303C-413B-A712-7D4C14003839}" name="InvoiceDate" dataDxfId="13" totalsRowDxfId="3"/>
    <tableColumn id="8" xr3:uid="{B0EE8681-27A6-4810-8E0C-49F934871E62}" name="UnitPrice" dataDxfId="12" totalsRowDxfId="2"/>
    <tableColumn id="9" xr3:uid="{DCD6EB13-0F5D-4948-87A0-14221A648D95}" name="CustomerID" dataDxfId="11" totalsRowDxfId="1"/>
    <tableColumn id="10" xr3:uid="{855EE11B-7764-4EC9-BBC1-0EB6C2706FC0}" name="Country" dataDxfId="10" totalsRow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  <pageSetUpPr fitToPage="1"/>
  </sheetPr>
  <dimension ref="G2:Q307"/>
  <sheetViews>
    <sheetView topLeftCell="G284" workbookViewId="0">
      <selection activeCell="H309" sqref="H309"/>
    </sheetView>
  </sheetViews>
  <sheetFormatPr defaultRowHeight="15" x14ac:dyDescent="0.25"/>
  <cols>
    <col min="7" max="7" width="9.7109375" bestFit="1" customWidth="1"/>
    <col min="8" max="9" width="14.5703125" bestFit="1" customWidth="1"/>
    <col min="10" max="10" width="14.85546875" bestFit="1" customWidth="1"/>
    <col min="11" max="11" width="40.85546875" bestFit="1" customWidth="1"/>
    <col min="12" max="12" width="13.28515625" bestFit="1" customWidth="1"/>
    <col min="13" max="13" width="16.140625" bestFit="1" customWidth="1"/>
    <col min="14" max="14" width="13.85546875" bestFit="1" customWidth="1"/>
    <col min="15" max="15" width="16" bestFit="1" customWidth="1"/>
    <col min="16" max="16" width="15.42578125" bestFit="1" customWidth="1"/>
  </cols>
  <sheetData>
    <row r="2" spans="7:17" x14ac:dyDescent="0.25">
      <c r="G2" s="1" t="s">
        <v>256</v>
      </c>
      <c r="H2" s="1" t="s">
        <v>255</v>
      </c>
      <c r="I2" s="1" t="s">
        <v>0</v>
      </c>
      <c r="J2" s="1" t="s">
        <v>1</v>
      </c>
      <c r="K2" s="1" t="s">
        <v>2</v>
      </c>
      <c r="L2" s="1" t="s">
        <v>3</v>
      </c>
      <c r="M2" s="1" t="s">
        <v>4</v>
      </c>
      <c r="N2" s="1" t="s">
        <v>5</v>
      </c>
      <c r="O2" s="1" t="s">
        <v>6</v>
      </c>
      <c r="P2" s="1" t="s">
        <v>7</v>
      </c>
      <c r="Q2" s="1"/>
    </row>
    <row r="3" spans="7:17" x14ac:dyDescent="0.25">
      <c r="G3" s="1" t="str">
        <f>TEXT(Table1[[#This Row],[InvoiceDate]],"H AM/PM")</f>
        <v>8 AM</v>
      </c>
      <c r="H3" s="1">
        <f t="shared" ref="H3:H66" si="0">N3*L3</f>
        <v>15.299999999999999</v>
      </c>
      <c r="I3" s="1">
        <v>536365</v>
      </c>
      <c r="J3" s="1" t="s">
        <v>8</v>
      </c>
      <c r="K3" s="1" t="s">
        <v>9</v>
      </c>
      <c r="L3" s="1">
        <v>6</v>
      </c>
      <c r="M3" s="2">
        <v>40513.351388888892</v>
      </c>
      <c r="N3" s="1">
        <v>2.5499999999999998</v>
      </c>
      <c r="O3" s="1">
        <v>17850</v>
      </c>
      <c r="P3" s="1" t="s">
        <v>10</v>
      </c>
      <c r="Q3" s="1"/>
    </row>
    <row r="4" spans="7:17" x14ac:dyDescent="0.25">
      <c r="G4" s="1" t="str">
        <f>TEXT(Table1[[#This Row],[InvoiceDate]],"H AM/PM")</f>
        <v>8 AM</v>
      </c>
      <c r="H4" s="1">
        <f t="shared" si="0"/>
        <v>20.34</v>
      </c>
      <c r="I4" s="1">
        <v>536365</v>
      </c>
      <c r="J4" s="1">
        <v>71053</v>
      </c>
      <c r="K4" s="1" t="s">
        <v>11</v>
      </c>
      <c r="L4" s="1">
        <v>6</v>
      </c>
      <c r="M4" s="2">
        <v>40513.351388888892</v>
      </c>
      <c r="N4" s="1">
        <v>3.39</v>
      </c>
      <c r="O4" s="1">
        <v>17850</v>
      </c>
      <c r="P4" s="1" t="s">
        <v>10</v>
      </c>
      <c r="Q4" s="1"/>
    </row>
    <row r="5" spans="7:17" x14ac:dyDescent="0.25">
      <c r="G5" s="1" t="str">
        <f>TEXT(Table1[[#This Row],[InvoiceDate]],"H AM/PM")</f>
        <v>8 AM</v>
      </c>
      <c r="H5" s="1">
        <f t="shared" si="0"/>
        <v>22</v>
      </c>
      <c r="I5" s="1">
        <v>536365</v>
      </c>
      <c r="J5" s="1" t="s">
        <v>12</v>
      </c>
      <c r="K5" s="1" t="s">
        <v>13</v>
      </c>
      <c r="L5" s="1">
        <v>8</v>
      </c>
      <c r="M5" s="2">
        <v>40513.351388888892</v>
      </c>
      <c r="N5" s="1">
        <v>2.75</v>
      </c>
      <c r="O5" s="1">
        <v>17850</v>
      </c>
      <c r="P5" s="1" t="s">
        <v>10</v>
      </c>
      <c r="Q5" s="1"/>
    </row>
    <row r="6" spans="7:17" x14ac:dyDescent="0.25">
      <c r="G6" s="1" t="str">
        <f>TEXT(Table1[[#This Row],[InvoiceDate]],"H AM/PM")</f>
        <v>8 AM</v>
      </c>
      <c r="H6" s="1">
        <f t="shared" si="0"/>
        <v>20.34</v>
      </c>
      <c r="I6" s="1">
        <v>536365</v>
      </c>
      <c r="J6" s="1" t="s">
        <v>14</v>
      </c>
      <c r="K6" s="1" t="s">
        <v>15</v>
      </c>
      <c r="L6" s="1">
        <v>6</v>
      </c>
      <c r="M6" s="2">
        <v>40513.351388888892</v>
      </c>
      <c r="N6" s="1">
        <v>3.39</v>
      </c>
      <c r="O6" s="1">
        <v>17850</v>
      </c>
      <c r="P6" s="1" t="s">
        <v>10</v>
      </c>
      <c r="Q6" s="1"/>
    </row>
    <row r="7" spans="7:17" x14ac:dyDescent="0.25">
      <c r="G7" s="1" t="str">
        <f>TEXT(Table1[[#This Row],[InvoiceDate]],"H AM/PM")</f>
        <v>8 AM</v>
      </c>
      <c r="H7" s="1">
        <f t="shared" si="0"/>
        <v>20.34</v>
      </c>
      <c r="I7" s="1">
        <v>536365</v>
      </c>
      <c r="J7" s="1" t="s">
        <v>16</v>
      </c>
      <c r="K7" s="1" t="s">
        <v>17</v>
      </c>
      <c r="L7" s="1">
        <v>6</v>
      </c>
      <c r="M7" s="2">
        <v>40513.351388888892</v>
      </c>
      <c r="N7" s="1">
        <v>3.39</v>
      </c>
      <c r="O7" s="1">
        <v>17850</v>
      </c>
      <c r="P7" s="1" t="s">
        <v>10</v>
      </c>
      <c r="Q7" s="1"/>
    </row>
    <row r="8" spans="7:17" x14ac:dyDescent="0.25">
      <c r="G8" s="1" t="str">
        <f>TEXT(Table1[[#This Row],[InvoiceDate]],"H AM/PM")</f>
        <v>8 AM</v>
      </c>
      <c r="H8" s="1">
        <f t="shared" si="0"/>
        <v>15.3</v>
      </c>
      <c r="I8" s="1">
        <v>536365</v>
      </c>
      <c r="J8" s="1">
        <v>22752</v>
      </c>
      <c r="K8" s="1" t="s">
        <v>18</v>
      </c>
      <c r="L8" s="1">
        <v>2</v>
      </c>
      <c r="M8" s="2">
        <v>40513.351388888892</v>
      </c>
      <c r="N8" s="1">
        <v>7.65</v>
      </c>
      <c r="O8" s="1">
        <v>17850</v>
      </c>
      <c r="P8" s="1" t="s">
        <v>10</v>
      </c>
      <c r="Q8" s="1"/>
    </row>
    <row r="9" spans="7:17" x14ac:dyDescent="0.25">
      <c r="G9" s="1" t="str">
        <f>TEXT(Table1[[#This Row],[InvoiceDate]],"H AM/PM")</f>
        <v>8 AM</v>
      </c>
      <c r="H9" s="1">
        <f t="shared" si="0"/>
        <v>25.5</v>
      </c>
      <c r="I9" s="1">
        <v>536365</v>
      </c>
      <c r="J9" s="1">
        <v>21730</v>
      </c>
      <c r="K9" s="1" t="s">
        <v>19</v>
      </c>
      <c r="L9" s="1">
        <v>6</v>
      </c>
      <c r="M9" s="2">
        <v>40513.351388888892</v>
      </c>
      <c r="N9" s="1">
        <v>4.25</v>
      </c>
      <c r="O9" s="1">
        <v>17850</v>
      </c>
      <c r="P9" s="1" t="s">
        <v>10</v>
      </c>
      <c r="Q9" s="1"/>
    </row>
    <row r="10" spans="7:17" x14ac:dyDescent="0.25">
      <c r="G10" s="1" t="str">
        <f>TEXT(Table1[[#This Row],[InvoiceDate]],"H AM/PM")</f>
        <v>8 AM</v>
      </c>
      <c r="H10" s="1">
        <f t="shared" si="0"/>
        <v>11.100000000000001</v>
      </c>
      <c r="I10" s="1">
        <v>536366</v>
      </c>
      <c r="J10" s="1">
        <v>22633</v>
      </c>
      <c r="K10" s="1" t="s">
        <v>20</v>
      </c>
      <c r="L10" s="1">
        <v>6</v>
      </c>
      <c r="M10" s="2">
        <v>40513.352777777778</v>
      </c>
      <c r="N10" s="1">
        <v>1.85</v>
      </c>
      <c r="O10" s="1">
        <v>17850</v>
      </c>
      <c r="P10" s="1" t="s">
        <v>10</v>
      </c>
      <c r="Q10" s="1"/>
    </row>
    <row r="11" spans="7:17" x14ac:dyDescent="0.25">
      <c r="G11" s="1" t="str">
        <f>TEXT(Table1[[#This Row],[InvoiceDate]],"H AM/PM")</f>
        <v>8 AM</v>
      </c>
      <c r="H11" s="1">
        <f t="shared" si="0"/>
        <v>11.100000000000001</v>
      </c>
      <c r="I11" s="1">
        <v>536366</v>
      </c>
      <c r="J11" s="1">
        <v>22632</v>
      </c>
      <c r="K11" s="1" t="s">
        <v>21</v>
      </c>
      <c r="L11" s="1">
        <v>6</v>
      </c>
      <c r="M11" s="2">
        <v>40513.352777777778</v>
      </c>
      <c r="N11" s="1">
        <v>1.85</v>
      </c>
      <c r="O11" s="1">
        <v>17850</v>
      </c>
      <c r="P11" s="1" t="s">
        <v>10</v>
      </c>
      <c r="Q11" s="1"/>
    </row>
    <row r="12" spans="7:17" x14ac:dyDescent="0.25">
      <c r="G12" s="1" t="str">
        <f>TEXT(Table1[[#This Row],[InvoiceDate]],"H AM/PM")</f>
        <v>8 AM</v>
      </c>
      <c r="H12" s="1">
        <f t="shared" si="0"/>
        <v>54.08</v>
      </c>
      <c r="I12" s="1">
        <v>536367</v>
      </c>
      <c r="J12" s="1">
        <v>84879</v>
      </c>
      <c r="K12" s="1" t="s">
        <v>22</v>
      </c>
      <c r="L12" s="1">
        <v>32</v>
      </c>
      <c r="M12" s="2">
        <v>40513.356944444444</v>
      </c>
      <c r="N12" s="1">
        <v>1.69</v>
      </c>
      <c r="O12" s="1">
        <v>13047</v>
      </c>
      <c r="P12" s="1" t="s">
        <v>10</v>
      </c>
      <c r="Q12" s="1"/>
    </row>
    <row r="13" spans="7:17" x14ac:dyDescent="0.25">
      <c r="G13" s="1" t="str">
        <f>TEXT(Table1[[#This Row],[InvoiceDate]],"H AM/PM")</f>
        <v>8 AM</v>
      </c>
      <c r="H13" s="1">
        <f t="shared" si="0"/>
        <v>12.600000000000001</v>
      </c>
      <c r="I13" s="1">
        <v>536367</v>
      </c>
      <c r="J13" s="1">
        <v>22745</v>
      </c>
      <c r="K13" s="1" t="s">
        <v>23</v>
      </c>
      <c r="L13" s="1">
        <v>6</v>
      </c>
      <c r="M13" s="2">
        <v>40513.356944444444</v>
      </c>
      <c r="N13" s="1">
        <v>2.1</v>
      </c>
      <c r="O13" s="1">
        <v>13047</v>
      </c>
      <c r="P13" s="1" t="s">
        <v>10</v>
      </c>
      <c r="Q13" s="1"/>
    </row>
    <row r="14" spans="7:17" x14ac:dyDescent="0.25">
      <c r="G14" s="1" t="str">
        <f>TEXT(Table1[[#This Row],[InvoiceDate]],"H AM/PM")</f>
        <v>8 AM</v>
      </c>
      <c r="H14" s="1">
        <f t="shared" si="0"/>
        <v>12.600000000000001</v>
      </c>
      <c r="I14" s="1">
        <v>536367</v>
      </c>
      <c r="J14" s="1">
        <v>22748</v>
      </c>
      <c r="K14" s="1" t="s">
        <v>24</v>
      </c>
      <c r="L14" s="1">
        <v>6</v>
      </c>
      <c r="M14" s="2">
        <v>40513.356944444444</v>
      </c>
      <c r="N14" s="1">
        <v>2.1</v>
      </c>
      <c r="O14" s="1">
        <v>13047</v>
      </c>
      <c r="P14" s="1" t="s">
        <v>10</v>
      </c>
      <c r="Q14" s="1"/>
    </row>
    <row r="15" spans="7:17" x14ac:dyDescent="0.25">
      <c r="G15" s="1" t="str">
        <f>TEXT(Table1[[#This Row],[InvoiceDate]],"H AM/PM")</f>
        <v>8 AM</v>
      </c>
      <c r="H15" s="1">
        <f t="shared" si="0"/>
        <v>30</v>
      </c>
      <c r="I15" s="1">
        <v>536367</v>
      </c>
      <c r="J15" s="1">
        <v>22749</v>
      </c>
      <c r="K15" s="1" t="s">
        <v>25</v>
      </c>
      <c r="L15" s="1">
        <v>8</v>
      </c>
      <c r="M15" s="2">
        <v>40513.356944444444</v>
      </c>
      <c r="N15" s="1">
        <v>3.75</v>
      </c>
      <c r="O15" s="1">
        <v>13047</v>
      </c>
      <c r="P15" s="1" t="s">
        <v>10</v>
      </c>
      <c r="Q15" s="1"/>
    </row>
    <row r="16" spans="7:17" x14ac:dyDescent="0.25">
      <c r="G16" s="1" t="str">
        <f>TEXT(Table1[[#This Row],[InvoiceDate]],"H AM/PM")</f>
        <v>8 AM</v>
      </c>
      <c r="H16" s="1">
        <f t="shared" si="0"/>
        <v>9.8999999999999986</v>
      </c>
      <c r="I16" s="1">
        <v>536367</v>
      </c>
      <c r="J16" s="1">
        <v>22310</v>
      </c>
      <c r="K16" s="1" t="s">
        <v>26</v>
      </c>
      <c r="L16" s="1">
        <v>6</v>
      </c>
      <c r="M16" s="2">
        <v>40513.356944444444</v>
      </c>
      <c r="N16" s="1">
        <v>1.65</v>
      </c>
      <c r="O16" s="1">
        <v>13047</v>
      </c>
      <c r="P16" s="1" t="s">
        <v>10</v>
      </c>
      <c r="Q16" s="1"/>
    </row>
    <row r="17" spans="7:17" x14ac:dyDescent="0.25">
      <c r="G17" s="1" t="str">
        <f>TEXT(Table1[[#This Row],[InvoiceDate]],"H AM/PM")</f>
        <v>8 AM</v>
      </c>
      <c r="H17" s="1">
        <f t="shared" si="0"/>
        <v>25.5</v>
      </c>
      <c r="I17" s="1">
        <v>536367</v>
      </c>
      <c r="J17" s="1">
        <v>84969</v>
      </c>
      <c r="K17" s="1" t="s">
        <v>27</v>
      </c>
      <c r="L17" s="1">
        <v>6</v>
      </c>
      <c r="M17" s="2">
        <v>40513.356944444444</v>
      </c>
      <c r="N17" s="1">
        <v>4.25</v>
      </c>
      <c r="O17" s="1">
        <v>13047</v>
      </c>
      <c r="P17" s="1" t="s">
        <v>10</v>
      </c>
      <c r="Q17" s="1"/>
    </row>
    <row r="18" spans="7:17" x14ac:dyDescent="0.25">
      <c r="G18" s="1" t="str">
        <f>TEXT(Table1[[#This Row],[InvoiceDate]],"H AM/PM")</f>
        <v>8 AM</v>
      </c>
      <c r="H18" s="1">
        <f t="shared" si="0"/>
        <v>14.850000000000001</v>
      </c>
      <c r="I18" s="1">
        <v>536367</v>
      </c>
      <c r="J18" s="1">
        <v>22623</v>
      </c>
      <c r="K18" s="1" t="s">
        <v>28</v>
      </c>
      <c r="L18" s="1">
        <v>3</v>
      </c>
      <c r="M18" s="2">
        <v>40513.356944444444</v>
      </c>
      <c r="N18" s="1">
        <v>4.95</v>
      </c>
      <c r="O18" s="1">
        <v>13047</v>
      </c>
      <c r="P18" s="1" t="s">
        <v>10</v>
      </c>
      <c r="Q18" s="1"/>
    </row>
    <row r="19" spans="7:17" x14ac:dyDescent="0.25">
      <c r="G19" s="1" t="str">
        <f>TEXT(Table1[[#This Row],[InvoiceDate]],"H AM/PM")</f>
        <v>8 AM</v>
      </c>
      <c r="H19" s="1">
        <f t="shared" si="0"/>
        <v>19.899999999999999</v>
      </c>
      <c r="I19" s="1">
        <v>536367</v>
      </c>
      <c r="J19" s="1">
        <v>22622</v>
      </c>
      <c r="K19" s="1" t="s">
        <v>29</v>
      </c>
      <c r="L19" s="1">
        <v>2</v>
      </c>
      <c r="M19" s="2">
        <v>40513.356944444444</v>
      </c>
      <c r="N19" s="1">
        <v>9.9499999999999993</v>
      </c>
      <c r="O19" s="1">
        <v>13047</v>
      </c>
      <c r="P19" s="1" t="s">
        <v>10</v>
      </c>
      <c r="Q19" s="1"/>
    </row>
    <row r="20" spans="7:17" x14ac:dyDescent="0.25">
      <c r="G20" s="1" t="str">
        <f>TEXT(Table1[[#This Row],[InvoiceDate]],"H AM/PM")</f>
        <v>8 AM</v>
      </c>
      <c r="H20" s="1">
        <f t="shared" si="0"/>
        <v>17.850000000000001</v>
      </c>
      <c r="I20" s="1">
        <v>536367</v>
      </c>
      <c r="J20" s="1">
        <v>21754</v>
      </c>
      <c r="K20" s="1" t="s">
        <v>30</v>
      </c>
      <c r="L20" s="1">
        <v>3</v>
      </c>
      <c r="M20" s="2">
        <v>40513.356944444444</v>
      </c>
      <c r="N20" s="1">
        <v>5.95</v>
      </c>
      <c r="O20" s="1">
        <v>13047</v>
      </c>
      <c r="P20" s="1" t="s">
        <v>10</v>
      </c>
      <c r="Q20" s="1"/>
    </row>
    <row r="21" spans="7:17" x14ac:dyDescent="0.25">
      <c r="G21" s="1" t="str">
        <f>TEXT(Table1[[#This Row],[InvoiceDate]],"H AM/PM")</f>
        <v>8 AM</v>
      </c>
      <c r="H21" s="1">
        <f t="shared" si="0"/>
        <v>17.850000000000001</v>
      </c>
      <c r="I21" s="1">
        <v>536367</v>
      </c>
      <c r="J21" s="1">
        <v>21755</v>
      </c>
      <c r="K21" s="1" t="s">
        <v>31</v>
      </c>
      <c r="L21" s="1">
        <v>3</v>
      </c>
      <c r="M21" s="2">
        <v>40513.356944444444</v>
      </c>
      <c r="N21" s="1">
        <v>5.95</v>
      </c>
      <c r="O21" s="1">
        <v>13047</v>
      </c>
      <c r="P21" s="1" t="s">
        <v>10</v>
      </c>
      <c r="Q21" s="1"/>
    </row>
    <row r="22" spans="7:17" x14ac:dyDescent="0.25">
      <c r="G22" s="1" t="str">
        <f>TEXT(Table1[[#This Row],[InvoiceDate]],"H AM/PM")</f>
        <v>8 AM</v>
      </c>
      <c r="H22" s="1">
        <f t="shared" si="0"/>
        <v>31.8</v>
      </c>
      <c r="I22" s="1">
        <v>536367</v>
      </c>
      <c r="J22" s="1">
        <v>21777</v>
      </c>
      <c r="K22" s="1" t="s">
        <v>32</v>
      </c>
      <c r="L22" s="1">
        <v>4</v>
      </c>
      <c r="M22" s="2">
        <v>40513.356944444444</v>
      </c>
      <c r="N22" s="1">
        <v>7.95</v>
      </c>
      <c r="O22" s="1">
        <v>13047</v>
      </c>
      <c r="P22" s="1" t="s">
        <v>10</v>
      </c>
      <c r="Q22" s="1"/>
    </row>
    <row r="23" spans="7:17" x14ac:dyDescent="0.25">
      <c r="G23" s="1" t="str">
        <f>TEXT(Table1[[#This Row],[InvoiceDate]],"H AM/PM")</f>
        <v>8 AM</v>
      </c>
      <c r="H23" s="1">
        <f t="shared" si="0"/>
        <v>31.8</v>
      </c>
      <c r="I23" s="1">
        <v>536367</v>
      </c>
      <c r="J23" s="1">
        <v>48187</v>
      </c>
      <c r="K23" s="1" t="s">
        <v>33</v>
      </c>
      <c r="L23" s="1">
        <v>4</v>
      </c>
      <c r="M23" s="2">
        <v>40513.356944444444</v>
      </c>
      <c r="N23" s="1">
        <v>7.95</v>
      </c>
      <c r="O23" s="1">
        <v>13047</v>
      </c>
      <c r="P23" s="1" t="s">
        <v>10</v>
      </c>
      <c r="Q23" s="1"/>
    </row>
    <row r="24" spans="7:17" x14ac:dyDescent="0.25">
      <c r="G24" s="1" t="str">
        <f>TEXT(Table1[[#This Row],[InvoiceDate]],"H AM/PM")</f>
        <v>8 AM</v>
      </c>
      <c r="H24" s="1">
        <f t="shared" si="0"/>
        <v>25.5</v>
      </c>
      <c r="I24" s="1">
        <v>536368</v>
      </c>
      <c r="J24" s="1">
        <v>22960</v>
      </c>
      <c r="K24" s="1" t="s">
        <v>34</v>
      </c>
      <c r="L24" s="1">
        <v>6</v>
      </c>
      <c r="M24" s="2">
        <v>40513.356944444444</v>
      </c>
      <c r="N24" s="1">
        <v>4.25</v>
      </c>
      <c r="O24" s="1">
        <v>13047</v>
      </c>
      <c r="P24" s="1" t="s">
        <v>10</v>
      </c>
      <c r="Q24" s="1"/>
    </row>
    <row r="25" spans="7:17" x14ac:dyDescent="0.25">
      <c r="G25" s="1" t="str">
        <f>TEXT(Table1[[#This Row],[InvoiceDate]],"H AM/PM")</f>
        <v>8 AM</v>
      </c>
      <c r="H25" s="1">
        <f t="shared" si="0"/>
        <v>14.850000000000001</v>
      </c>
      <c r="I25" s="1">
        <v>536368</v>
      </c>
      <c r="J25" s="1">
        <v>22913</v>
      </c>
      <c r="K25" s="1" t="s">
        <v>35</v>
      </c>
      <c r="L25" s="1">
        <v>3</v>
      </c>
      <c r="M25" s="2">
        <v>40513.356944444444</v>
      </c>
      <c r="N25" s="1">
        <v>4.95</v>
      </c>
      <c r="O25" s="1">
        <v>13047</v>
      </c>
      <c r="P25" s="1" t="s">
        <v>10</v>
      </c>
      <c r="Q25" s="1"/>
    </row>
    <row r="26" spans="7:17" x14ac:dyDescent="0.25">
      <c r="G26" s="1" t="str">
        <f>TEXT(Table1[[#This Row],[InvoiceDate]],"H AM/PM")</f>
        <v>8 AM</v>
      </c>
      <c r="H26" s="1">
        <f t="shared" si="0"/>
        <v>14.850000000000001</v>
      </c>
      <c r="I26" s="1">
        <v>536368</v>
      </c>
      <c r="J26" s="1">
        <v>22912</v>
      </c>
      <c r="K26" s="1" t="s">
        <v>36</v>
      </c>
      <c r="L26" s="1">
        <v>3</v>
      </c>
      <c r="M26" s="2">
        <v>40513.356944444444</v>
      </c>
      <c r="N26" s="1">
        <v>4.95</v>
      </c>
      <c r="O26" s="1">
        <v>13047</v>
      </c>
      <c r="P26" s="1" t="s">
        <v>10</v>
      </c>
      <c r="Q26" s="1"/>
    </row>
    <row r="27" spans="7:17" x14ac:dyDescent="0.25">
      <c r="G27" s="1" t="str">
        <f>TEXT(Table1[[#This Row],[InvoiceDate]],"H AM/PM")</f>
        <v>8 AM</v>
      </c>
      <c r="H27" s="1">
        <f t="shared" si="0"/>
        <v>14.850000000000001</v>
      </c>
      <c r="I27" s="1">
        <v>536368</v>
      </c>
      <c r="J27" s="1">
        <v>22914</v>
      </c>
      <c r="K27" s="1" t="s">
        <v>37</v>
      </c>
      <c r="L27" s="1">
        <v>3</v>
      </c>
      <c r="M27" s="2">
        <v>40513.356944444444</v>
      </c>
      <c r="N27" s="1">
        <v>4.95</v>
      </c>
      <c r="O27" s="1">
        <v>13047</v>
      </c>
      <c r="P27" s="1" t="s">
        <v>10</v>
      </c>
      <c r="Q27" s="1"/>
    </row>
    <row r="28" spans="7:17" x14ac:dyDescent="0.25">
      <c r="G28" s="1" t="str">
        <f>TEXT(Table1[[#This Row],[InvoiceDate]],"H AM/PM")</f>
        <v>8 AM</v>
      </c>
      <c r="H28" s="1">
        <f t="shared" si="0"/>
        <v>17.850000000000001</v>
      </c>
      <c r="I28" s="1">
        <v>536369</v>
      </c>
      <c r="J28" s="1">
        <v>21756</v>
      </c>
      <c r="K28" s="1" t="s">
        <v>38</v>
      </c>
      <c r="L28" s="1">
        <v>3</v>
      </c>
      <c r="M28" s="2">
        <v>40513.357638888891</v>
      </c>
      <c r="N28" s="1">
        <v>5.95</v>
      </c>
      <c r="O28" s="1">
        <v>13047</v>
      </c>
      <c r="P28" s="1" t="s">
        <v>10</v>
      </c>
      <c r="Q28" s="1"/>
    </row>
    <row r="29" spans="7:17" x14ac:dyDescent="0.25">
      <c r="G29" s="1" t="str">
        <f>TEXT(Table1[[#This Row],[InvoiceDate]],"H AM/PM")</f>
        <v>8 AM</v>
      </c>
      <c r="H29" s="1">
        <f t="shared" si="0"/>
        <v>90</v>
      </c>
      <c r="I29" s="1">
        <v>536370</v>
      </c>
      <c r="J29" s="1">
        <v>22728</v>
      </c>
      <c r="K29" s="1" t="s">
        <v>39</v>
      </c>
      <c r="L29" s="1">
        <v>24</v>
      </c>
      <c r="M29" s="2">
        <v>40513.364583333336</v>
      </c>
      <c r="N29" s="1">
        <v>3.75</v>
      </c>
      <c r="O29" s="1">
        <v>12583</v>
      </c>
      <c r="P29" s="1" t="s">
        <v>40</v>
      </c>
      <c r="Q29" s="1"/>
    </row>
    <row r="30" spans="7:17" x14ac:dyDescent="0.25">
      <c r="G30" s="1" t="str">
        <f>TEXT(Table1[[#This Row],[InvoiceDate]],"H AM/PM")</f>
        <v>8 AM</v>
      </c>
      <c r="H30" s="1">
        <f t="shared" si="0"/>
        <v>90</v>
      </c>
      <c r="I30" s="1">
        <v>536370</v>
      </c>
      <c r="J30" s="1">
        <v>22727</v>
      </c>
      <c r="K30" s="1" t="s">
        <v>41</v>
      </c>
      <c r="L30" s="1">
        <v>24</v>
      </c>
      <c r="M30" s="2">
        <v>40513.364583333336</v>
      </c>
      <c r="N30" s="1">
        <v>3.75</v>
      </c>
      <c r="O30" s="1">
        <v>12583</v>
      </c>
      <c r="P30" s="1" t="s">
        <v>40</v>
      </c>
      <c r="Q30" s="1"/>
    </row>
    <row r="31" spans="7:17" x14ac:dyDescent="0.25">
      <c r="G31" s="1" t="str">
        <f>TEXT(Table1[[#This Row],[InvoiceDate]],"H AM/PM")</f>
        <v>8 AM</v>
      </c>
      <c r="H31" s="1">
        <f t="shared" si="0"/>
        <v>45</v>
      </c>
      <c r="I31" s="1">
        <v>536370</v>
      </c>
      <c r="J31" s="1">
        <v>22726</v>
      </c>
      <c r="K31" s="1" t="s">
        <v>42</v>
      </c>
      <c r="L31" s="1">
        <v>12</v>
      </c>
      <c r="M31" s="2">
        <v>40513.364583333336</v>
      </c>
      <c r="N31" s="1">
        <v>3.75</v>
      </c>
      <c r="O31" s="1">
        <v>12583</v>
      </c>
      <c r="P31" s="1" t="s">
        <v>40</v>
      </c>
      <c r="Q31" s="1"/>
    </row>
    <row r="32" spans="7:17" x14ac:dyDescent="0.25">
      <c r="G32" s="1" t="str">
        <f>TEXT(Table1[[#This Row],[InvoiceDate]],"H AM/PM")</f>
        <v>8 AM</v>
      </c>
      <c r="H32" s="1">
        <f t="shared" si="0"/>
        <v>10.199999999999999</v>
      </c>
      <c r="I32" s="1">
        <v>536370</v>
      </c>
      <c r="J32" s="1">
        <v>21724</v>
      </c>
      <c r="K32" s="1" t="s">
        <v>43</v>
      </c>
      <c r="L32" s="1">
        <v>12</v>
      </c>
      <c r="M32" s="2">
        <v>40513.364583333336</v>
      </c>
      <c r="N32" s="1">
        <v>0.85</v>
      </c>
      <c r="O32" s="1">
        <v>12583</v>
      </c>
      <c r="P32" s="1" t="s">
        <v>40</v>
      </c>
      <c r="Q32" s="1"/>
    </row>
    <row r="33" spans="7:17" x14ac:dyDescent="0.25">
      <c r="G33" s="1" t="str">
        <f>TEXT(Table1[[#This Row],[InvoiceDate]],"H AM/PM")</f>
        <v>8 AM</v>
      </c>
      <c r="H33" s="1">
        <f t="shared" si="0"/>
        <v>15.600000000000001</v>
      </c>
      <c r="I33" s="1">
        <v>536370</v>
      </c>
      <c r="J33" s="1">
        <v>21883</v>
      </c>
      <c r="K33" s="1" t="s">
        <v>44</v>
      </c>
      <c r="L33" s="1">
        <v>24</v>
      </c>
      <c r="M33" s="2">
        <v>40513.364583333336</v>
      </c>
      <c r="N33" s="1">
        <v>0.65</v>
      </c>
      <c r="O33" s="1">
        <v>12583</v>
      </c>
      <c r="P33" s="1" t="s">
        <v>40</v>
      </c>
      <c r="Q33" s="1"/>
    </row>
    <row r="34" spans="7:17" x14ac:dyDescent="0.25">
      <c r="G34" s="1" t="str">
        <f>TEXT(Table1[[#This Row],[InvoiceDate]],"H AM/PM")</f>
        <v>8 AM</v>
      </c>
      <c r="H34" s="1">
        <f t="shared" si="0"/>
        <v>40.799999999999997</v>
      </c>
      <c r="I34" s="1">
        <v>536370</v>
      </c>
      <c r="J34" s="1">
        <v>10002</v>
      </c>
      <c r="K34" s="1" t="s">
        <v>45</v>
      </c>
      <c r="L34" s="1">
        <v>48</v>
      </c>
      <c r="M34" s="2">
        <v>40513.364583333336</v>
      </c>
      <c r="N34" s="1">
        <v>0.85</v>
      </c>
      <c r="O34" s="1">
        <v>12583</v>
      </c>
      <c r="P34" s="1" t="s">
        <v>40</v>
      </c>
      <c r="Q34" s="1"/>
    </row>
    <row r="35" spans="7:17" x14ac:dyDescent="0.25">
      <c r="G35" s="1" t="str">
        <f>TEXT(Table1[[#This Row],[InvoiceDate]],"H AM/PM")</f>
        <v>8 AM</v>
      </c>
      <c r="H35" s="1">
        <f t="shared" si="0"/>
        <v>30</v>
      </c>
      <c r="I35" s="1">
        <v>536370</v>
      </c>
      <c r="J35" s="1">
        <v>21791</v>
      </c>
      <c r="K35" s="1" t="s">
        <v>46</v>
      </c>
      <c r="L35" s="1">
        <v>24</v>
      </c>
      <c r="M35" s="2">
        <v>40513.364583333336</v>
      </c>
      <c r="N35" s="1">
        <v>1.25</v>
      </c>
      <c r="O35" s="1">
        <v>12583</v>
      </c>
      <c r="P35" s="1" t="s">
        <v>40</v>
      </c>
      <c r="Q35" s="1"/>
    </row>
    <row r="36" spans="7:17" x14ac:dyDescent="0.25">
      <c r="G36" s="1" t="str">
        <f>TEXT(Table1[[#This Row],[InvoiceDate]],"H AM/PM")</f>
        <v>8 AM</v>
      </c>
      <c r="H36" s="1">
        <f t="shared" si="0"/>
        <v>53.1</v>
      </c>
      <c r="I36" s="1">
        <v>536370</v>
      </c>
      <c r="J36" s="1">
        <v>21035</v>
      </c>
      <c r="K36" s="1" t="s">
        <v>47</v>
      </c>
      <c r="L36" s="1">
        <v>18</v>
      </c>
      <c r="M36" s="2">
        <v>40513.364583333336</v>
      </c>
      <c r="N36" s="1">
        <v>2.95</v>
      </c>
      <c r="O36" s="1">
        <v>12583</v>
      </c>
      <c r="P36" s="1" t="s">
        <v>40</v>
      </c>
      <c r="Q36" s="1"/>
    </row>
    <row r="37" spans="7:17" x14ac:dyDescent="0.25">
      <c r="G37" s="1" t="str">
        <f>TEXT(Table1[[#This Row],[InvoiceDate]],"H AM/PM")</f>
        <v>8 AM</v>
      </c>
      <c r="H37" s="1">
        <f t="shared" si="0"/>
        <v>70.800000000000011</v>
      </c>
      <c r="I37" s="1">
        <v>536370</v>
      </c>
      <c r="J37" s="1">
        <v>22326</v>
      </c>
      <c r="K37" s="1" t="s">
        <v>48</v>
      </c>
      <c r="L37" s="1">
        <v>24</v>
      </c>
      <c r="M37" s="2">
        <v>40513.364583333336</v>
      </c>
      <c r="N37" s="1">
        <v>2.95</v>
      </c>
      <c r="O37" s="1">
        <v>12583</v>
      </c>
      <c r="P37" s="1" t="s">
        <v>40</v>
      </c>
      <c r="Q37" s="1"/>
    </row>
    <row r="38" spans="7:17" x14ac:dyDescent="0.25">
      <c r="G38" s="1" t="str">
        <f>TEXT(Table1[[#This Row],[InvoiceDate]],"H AM/PM")</f>
        <v>8 AM</v>
      </c>
      <c r="H38" s="1">
        <f t="shared" si="0"/>
        <v>46.8</v>
      </c>
      <c r="I38" s="1">
        <v>536370</v>
      </c>
      <c r="J38" s="1">
        <v>22629</v>
      </c>
      <c r="K38" s="1" t="s">
        <v>49</v>
      </c>
      <c r="L38" s="1">
        <v>24</v>
      </c>
      <c r="M38" s="2">
        <v>40513.364583333336</v>
      </c>
      <c r="N38" s="1">
        <v>1.95</v>
      </c>
      <c r="O38" s="1">
        <v>12583</v>
      </c>
      <c r="P38" s="1" t="s">
        <v>40</v>
      </c>
      <c r="Q38" s="1"/>
    </row>
    <row r="39" spans="7:17" x14ac:dyDescent="0.25">
      <c r="G39" s="1" t="str">
        <f>TEXT(Table1[[#This Row],[InvoiceDate]],"H AM/PM")</f>
        <v>8 AM</v>
      </c>
      <c r="H39" s="1">
        <f t="shared" si="0"/>
        <v>46.8</v>
      </c>
      <c r="I39" s="1">
        <v>536370</v>
      </c>
      <c r="J39" s="1">
        <v>22659</v>
      </c>
      <c r="K39" s="1" t="s">
        <v>50</v>
      </c>
      <c r="L39" s="1">
        <v>24</v>
      </c>
      <c r="M39" s="2">
        <v>40513.364583333336</v>
      </c>
      <c r="N39" s="1">
        <v>1.95</v>
      </c>
      <c r="O39" s="1">
        <v>12583</v>
      </c>
      <c r="P39" s="1" t="s">
        <v>40</v>
      </c>
      <c r="Q39" s="1"/>
    </row>
    <row r="40" spans="7:17" x14ac:dyDescent="0.25">
      <c r="G40" s="1" t="str">
        <f>TEXT(Table1[[#This Row],[InvoiceDate]],"H AM/PM")</f>
        <v>8 AM</v>
      </c>
      <c r="H40" s="1">
        <f t="shared" si="0"/>
        <v>46.8</v>
      </c>
      <c r="I40" s="1">
        <v>536370</v>
      </c>
      <c r="J40" s="1">
        <v>22631</v>
      </c>
      <c r="K40" s="1" t="s">
        <v>51</v>
      </c>
      <c r="L40" s="1">
        <v>24</v>
      </c>
      <c r="M40" s="2">
        <v>40513.364583333336</v>
      </c>
      <c r="N40" s="1">
        <v>1.95</v>
      </c>
      <c r="O40" s="1">
        <v>12583</v>
      </c>
      <c r="P40" s="1" t="s">
        <v>40</v>
      </c>
      <c r="Q40" s="1"/>
    </row>
    <row r="41" spans="7:17" x14ac:dyDescent="0.25">
      <c r="G41" s="1" t="str">
        <f>TEXT(Table1[[#This Row],[InvoiceDate]],"H AM/PM")</f>
        <v>8 AM</v>
      </c>
      <c r="H41" s="1">
        <f t="shared" si="0"/>
        <v>17</v>
      </c>
      <c r="I41" s="1">
        <v>536370</v>
      </c>
      <c r="J41" s="1">
        <v>22661</v>
      </c>
      <c r="K41" s="1" t="s">
        <v>52</v>
      </c>
      <c r="L41" s="1">
        <v>20</v>
      </c>
      <c r="M41" s="2">
        <v>40513.364583333336</v>
      </c>
      <c r="N41" s="1">
        <v>0.85</v>
      </c>
      <c r="O41" s="1">
        <v>12583</v>
      </c>
      <c r="P41" s="1" t="s">
        <v>40</v>
      </c>
      <c r="Q41" s="1"/>
    </row>
    <row r="42" spans="7:17" x14ac:dyDescent="0.25">
      <c r="G42" s="1" t="str">
        <f>TEXT(Table1[[#This Row],[InvoiceDate]],"H AM/PM")</f>
        <v>8 AM</v>
      </c>
      <c r="H42" s="1">
        <f t="shared" si="0"/>
        <v>39.599999999999994</v>
      </c>
      <c r="I42" s="1">
        <v>536370</v>
      </c>
      <c r="J42" s="1">
        <v>21731</v>
      </c>
      <c r="K42" s="1" t="s">
        <v>53</v>
      </c>
      <c r="L42" s="1">
        <v>24</v>
      </c>
      <c r="M42" s="2">
        <v>40513.364583333336</v>
      </c>
      <c r="N42" s="1">
        <v>1.65</v>
      </c>
      <c r="O42" s="1">
        <v>12583</v>
      </c>
      <c r="P42" s="1" t="s">
        <v>40</v>
      </c>
      <c r="Q42" s="1"/>
    </row>
    <row r="43" spans="7:17" x14ac:dyDescent="0.25">
      <c r="G43" s="1" t="str">
        <f>TEXT(Table1[[#This Row],[InvoiceDate]],"H AM/PM")</f>
        <v>8 AM</v>
      </c>
      <c r="H43" s="1">
        <f t="shared" si="0"/>
        <v>70.800000000000011</v>
      </c>
      <c r="I43" s="1">
        <v>536370</v>
      </c>
      <c r="J43" s="1">
        <v>22900</v>
      </c>
      <c r="K43" s="1" t="s">
        <v>54</v>
      </c>
      <c r="L43" s="1">
        <v>24</v>
      </c>
      <c r="M43" s="2">
        <v>40513.364583333336</v>
      </c>
      <c r="N43" s="1">
        <v>2.95</v>
      </c>
      <c r="O43" s="1">
        <v>12583</v>
      </c>
      <c r="P43" s="1" t="s">
        <v>40</v>
      </c>
      <c r="Q43" s="1"/>
    </row>
    <row r="44" spans="7:17" x14ac:dyDescent="0.25">
      <c r="G44" s="1" t="str">
        <f>TEXT(Table1[[#This Row],[InvoiceDate]],"H AM/PM")</f>
        <v>8 AM</v>
      </c>
      <c r="H44" s="1">
        <f t="shared" si="0"/>
        <v>45</v>
      </c>
      <c r="I44" s="1">
        <v>536370</v>
      </c>
      <c r="J44" s="1">
        <v>21913</v>
      </c>
      <c r="K44" s="1" t="s">
        <v>55</v>
      </c>
      <c r="L44" s="1">
        <v>12</v>
      </c>
      <c r="M44" s="2">
        <v>40513.364583333336</v>
      </c>
      <c r="N44" s="1">
        <v>3.75</v>
      </c>
      <c r="O44" s="1">
        <v>12583</v>
      </c>
      <c r="P44" s="1" t="s">
        <v>40</v>
      </c>
      <c r="Q44" s="1"/>
    </row>
    <row r="45" spans="7:17" x14ac:dyDescent="0.25">
      <c r="G45" s="1" t="str">
        <f>TEXT(Table1[[#This Row],[InvoiceDate]],"H AM/PM")</f>
        <v>8 AM</v>
      </c>
      <c r="H45" s="1">
        <f t="shared" si="0"/>
        <v>10.08</v>
      </c>
      <c r="I45" s="1">
        <v>536370</v>
      </c>
      <c r="J45" s="1">
        <v>22540</v>
      </c>
      <c r="K45" s="1" t="s">
        <v>56</v>
      </c>
      <c r="L45" s="1">
        <v>24</v>
      </c>
      <c r="M45" s="2">
        <v>40513.364583333336</v>
      </c>
      <c r="N45" s="1">
        <v>0.42</v>
      </c>
      <c r="O45" s="1">
        <v>12583</v>
      </c>
      <c r="P45" s="1" t="s">
        <v>40</v>
      </c>
      <c r="Q45" s="1"/>
    </row>
    <row r="46" spans="7:17" x14ac:dyDescent="0.25">
      <c r="G46" s="1" t="str">
        <f>TEXT(Table1[[#This Row],[InvoiceDate]],"H AM/PM")</f>
        <v>8 AM</v>
      </c>
      <c r="H46" s="1">
        <f t="shared" si="0"/>
        <v>10.08</v>
      </c>
      <c r="I46" s="1">
        <v>536370</v>
      </c>
      <c r="J46" s="1">
        <v>22544</v>
      </c>
      <c r="K46" s="1" t="s">
        <v>57</v>
      </c>
      <c r="L46" s="1">
        <v>24</v>
      </c>
      <c r="M46" s="2">
        <v>40513.364583333336</v>
      </c>
      <c r="N46" s="1">
        <v>0.42</v>
      </c>
      <c r="O46" s="1">
        <v>12583</v>
      </c>
      <c r="P46" s="1" t="s">
        <v>40</v>
      </c>
      <c r="Q46" s="1"/>
    </row>
    <row r="47" spans="7:17" x14ac:dyDescent="0.25">
      <c r="G47" s="1" t="str">
        <f>TEXT(Table1[[#This Row],[InvoiceDate]],"H AM/PM")</f>
        <v>8 AM</v>
      </c>
      <c r="H47" s="1">
        <f t="shared" si="0"/>
        <v>23.400000000000002</v>
      </c>
      <c r="I47" s="1">
        <v>536370</v>
      </c>
      <c r="J47" s="1">
        <v>22492</v>
      </c>
      <c r="K47" s="1" t="s">
        <v>58</v>
      </c>
      <c r="L47" s="1">
        <v>36</v>
      </c>
      <c r="M47" s="2">
        <v>40513.364583333336</v>
      </c>
      <c r="N47" s="1">
        <v>0.65</v>
      </c>
      <c r="O47" s="1">
        <v>12583</v>
      </c>
      <c r="P47" s="1" t="s">
        <v>40</v>
      </c>
      <c r="Q47" s="1"/>
    </row>
    <row r="48" spans="7:17" x14ac:dyDescent="0.25">
      <c r="G48" s="1" t="str">
        <f>TEXT(Table1[[#This Row],[InvoiceDate]],"H AM/PM")</f>
        <v>8 AM</v>
      </c>
      <c r="H48" s="1">
        <f t="shared" si="0"/>
        <v>54</v>
      </c>
      <c r="I48" s="1">
        <v>536370</v>
      </c>
      <c r="J48" s="1" t="s">
        <v>59</v>
      </c>
      <c r="K48" s="1" t="s">
        <v>60</v>
      </c>
      <c r="L48" s="1">
        <v>3</v>
      </c>
      <c r="M48" s="2">
        <v>40513.364583333336</v>
      </c>
      <c r="N48" s="1">
        <v>18</v>
      </c>
      <c r="O48" s="1">
        <v>12583</v>
      </c>
      <c r="P48" s="1" t="s">
        <v>40</v>
      </c>
      <c r="Q48" s="1"/>
    </row>
    <row r="49" spans="7:17" x14ac:dyDescent="0.25">
      <c r="G49" s="1" t="str">
        <f>TEXT(Table1[[#This Row],[InvoiceDate]],"H AM/PM")</f>
        <v>9 AM</v>
      </c>
      <c r="H49" s="1">
        <f t="shared" si="0"/>
        <v>204</v>
      </c>
      <c r="I49" s="1">
        <v>536371</v>
      </c>
      <c r="J49" s="1">
        <v>22086</v>
      </c>
      <c r="K49" s="1" t="s">
        <v>61</v>
      </c>
      <c r="L49" s="1">
        <v>80</v>
      </c>
      <c r="M49" s="2">
        <v>40513.375</v>
      </c>
      <c r="N49" s="1">
        <v>2.5499999999999998</v>
      </c>
      <c r="O49" s="1">
        <v>13748</v>
      </c>
      <c r="P49" s="1" t="s">
        <v>10</v>
      </c>
      <c r="Q49" s="1"/>
    </row>
    <row r="50" spans="7:17" x14ac:dyDescent="0.25">
      <c r="G50" s="1" t="str">
        <f>TEXT(Table1[[#This Row],[InvoiceDate]],"H AM/PM")</f>
        <v>9 AM</v>
      </c>
      <c r="H50" s="1">
        <f t="shared" si="0"/>
        <v>11.100000000000001</v>
      </c>
      <c r="I50" s="1">
        <v>536372</v>
      </c>
      <c r="J50" s="1">
        <v>22632</v>
      </c>
      <c r="K50" s="1" t="s">
        <v>21</v>
      </c>
      <c r="L50" s="1">
        <v>6</v>
      </c>
      <c r="M50" s="2">
        <v>40513.375694444447</v>
      </c>
      <c r="N50" s="1">
        <v>1.85</v>
      </c>
      <c r="O50" s="1">
        <v>17850</v>
      </c>
      <c r="P50" s="1" t="s">
        <v>10</v>
      </c>
      <c r="Q50" s="1"/>
    </row>
    <row r="51" spans="7:17" x14ac:dyDescent="0.25">
      <c r="G51" s="1" t="str">
        <f>TEXT(Table1[[#This Row],[InvoiceDate]],"H AM/PM")</f>
        <v>9 AM</v>
      </c>
      <c r="H51" s="1">
        <f t="shared" si="0"/>
        <v>11.100000000000001</v>
      </c>
      <c r="I51" s="1">
        <v>536372</v>
      </c>
      <c r="J51" s="1">
        <v>22633</v>
      </c>
      <c r="K51" s="1" t="s">
        <v>20</v>
      </c>
      <c r="L51" s="1">
        <v>6</v>
      </c>
      <c r="M51" s="2">
        <v>40513.375694444447</v>
      </c>
      <c r="N51" s="1">
        <v>1.85</v>
      </c>
      <c r="O51" s="1">
        <v>17850</v>
      </c>
      <c r="P51" s="1" t="s">
        <v>10</v>
      </c>
      <c r="Q51" s="1"/>
    </row>
    <row r="52" spans="7:17" x14ac:dyDescent="0.25">
      <c r="G52" s="1" t="str">
        <f>TEXT(Table1[[#This Row],[InvoiceDate]],"H AM/PM")</f>
        <v>9 AM</v>
      </c>
      <c r="H52" s="1">
        <f t="shared" si="0"/>
        <v>15.299999999999999</v>
      </c>
      <c r="I52" s="1">
        <v>536373</v>
      </c>
      <c r="J52" s="1" t="s">
        <v>8</v>
      </c>
      <c r="K52" s="1" t="s">
        <v>9</v>
      </c>
      <c r="L52" s="1">
        <v>6</v>
      </c>
      <c r="M52" s="2">
        <v>40513.376388888886</v>
      </c>
      <c r="N52" s="1">
        <v>2.5499999999999998</v>
      </c>
      <c r="O52" s="1">
        <v>17850</v>
      </c>
      <c r="P52" s="1" t="s">
        <v>10</v>
      </c>
      <c r="Q52" s="1"/>
    </row>
    <row r="53" spans="7:17" x14ac:dyDescent="0.25">
      <c r="G53" s="1" t="str">
        <f>TEXT(Table1[[#This Row],[InvoiceDate]],"H AM/PM")</f>
        <v>9 AM</v>
      </c>
      <c r="H53" s="1">
        <f t="shared" si="0"/>
        <v>20.34</v>
      </c>
      <c r="I53" s="1">
        <v>536373</v>
      </c>
      <c r="J53" s="1">
        <v>71053</v>
      </c>
      <c r="K53" s="1" t="s">
        <v>11</v>
      </c>
      <c r="L53" s="1">
        <v>6</v>
      </c>
      <c r="M53" s="2">
        <v>40513.376388888886</v>
      </c>
      <c r="N53" s="1">
        <v>3.39</v>
      </c>
      <c r="O53" s="1">
        <v>17850</v>
      </c>
      <c r="P53" s="1" t="s">
        <v>10</v>
      </c>
      <c r="Q53" s="1"/>
    </row>
    <row r="54" spans="7:17" x14ac:dyDescent="0.25">
      <c r="G54" s="1" t="str">
        <f>TEXT(Table1[[#This Row],[InvoiceDate]],"H AM/PM")</f>
        <v>9 AM</v>
      </c>
      <c r="H54" s="1">
        <f t="shared" si="0"/>
        <v>22</v>
      </c>
      <c r="I54" s="1">
        <v>536373</v>
      </c>
      <c r="J54" s="1" t="s">
        <v>12</v>
      </c>
      <c r="K54" s="1" t="s">
        <v>13</v>
      </c>
      <c r="L54" s="1">
        <v>8</v>
      </c>
      <c r="M54" s="2">
        <v>40513.376388888886</v>
      </c>
      <c r="N54" s="1">
        <v>2.75</v>
      </c>
      <c r="O54" s="1">
        <v>17850</v>
      </c>
      <c r="P54" s="1" t="s">
        <v>10</v>
      </c>
      <c r="Q54" s="1"/>
    </row>
    <row r="55" spans="7:17" x14ac:dyDescent="0.25">
      <c r="G55" s="1" t="str">
        <f>TEXT(Table1[[#This Row],[InvoiceDate]],"H AM/PM")</f>
        <v>9 AM</v>
      </c>
      <c r="H55" s="1">
        <f t="shared" si="0"/>
        <v>29.700000000000003</v>
      </c>
      <c r="I55" s="1">
        <v>536373</v>
      </c>
      <c r="J55" s="1">
        <v>20679</v>
      </c>
      <c r="K55" s="1" t="s">
        <v>62</v>
      </c>
      <c r="L55" s="1">
        <v>6</v>
      </c>
      <c r="M55" s="2">
        <v>40513.376388888886</v>
      </c>
      <c r="N55" s="1">
        <v>4.95</v>
      </c>
      <c r="O55" s="1">
        <v>17850</v>
      </c>
      <c r="P55" s="1" t="s">
        <v>10</v>
      </c>
      <c r="Q55" s="1"/>
    </row>
    <row r="56" spans="7:17" x14ac:dyDescent="0.25">
      <c r="G56" s="1" t="str">
        <f>TEXT(Table1[[#This Row],[InvoiceDate]],"H AM/PM")</f>
        <v>9 AM</v>
      </c>
      <c r="H56" s="1">
        <f t="shared" si="0"/>
        <v>6.36</v>
      </c>
      <c r="I56" s="1">
        <v>536373</v>
      </c>
      <c r="J56" s="1">
        <v>37370</v>
      </c>
      <c r="K56" s="1" t="s">
        <v>63</v>
      </c>
      <c r="L56" s="1">
        <v>6</v>
      </c>
      <c r="M56" s="2">
        <v>40513.376388888886</v>
      </c>
      <c r="N56" s="1">
        <v>1.06</v>
      </c>
      <c r="O56" s="1">
        <v>17850</v>
      </c>
      <c r="P56" s="1" t="s">
        <v>10</v>
      </c>
      <c r="Q56" s="1"/>
    </row>
    <row r="57" spans="7:17" x14ac:dyDescent="0.25">
      <c r="G57" s="1" t="str">
        <f>TEXT(Table1[[#This Row],[InvoiceDate]],"H AM/PM")</f>
        <v>9 AM</v>
      </c>
      <c r="H57" s="1">
        <f t="shared" si="0"/>
        <v>6.36</v>
      </c>
      <c r="I57" s="1">
        <v>536373</v>
      </c>
      <c r="J57" s="1">
        <v>21871</v>
      </c>
      <c r="K57" s="1" t="s">
        <v>64</v>
      </c>
      <c r="L57" s="1">
        <v>6</v>
      </c>
      <c r="M57" s="2">
        <v>40513.376388888886</v>
      </c>
      <c r="N57" s="1">
        <v>1.06</v>
      </c>
      <c r="O57" s="1">
        <v>17850</v>
      </c>
      <c r="P57" s="1" t="s">
        <v>10</v>
      </c>
      <c r="Q57" s="1"/>
    </row>
    <row r="58" spans="7:17" x14ac:dyDescent="0.25">
      <c r="G58" s="1" t="str">
        <f>TEXT(Table1[[#This Row],[InvoiceDate]],"H AM/PM")</f>
        <v>9 AM</v>
      </c>
      <c r="H58" s="1">
        <f t="shared" si="0"/>
        <v>6.36</v>
      </c>
      <c r="I58" s="1">
        <v>536373</v>
      </c>
      <c r="J58" s="1">
        <v>21071</v>
      </c>
      <c r="K58" s="1" t="s">
        <v>65</v>
      </c>
      <c r="L58" s="1">
        <v>6</v>
      </c>
      <c r="M58" s="2">
        <v>40513.376388888886</v>
      </c>
      <c r="N58" s="1">
        <v>1.06</v>
      </c>
      <c r="O58" s="1">
        <v>17850</v>
      </c>
      <c r="P58" s="1" t="s">
        <v>10</v>
      </c>
      <c r="Q58" s="1"/>
    </row>
    <row r="59" spans="7:17" x14ac:dyDescent="0.25">
      <c r="G59" s="1" t="str">
        <f>TEXT(Table1[[#This Row],[InvoiceDate]],"H AM/PM")</f>
        <v>9 AM</v>
      </c>
      <c r="H59" s="1">
        <f t="shared" si="0"/>
        <v>6.36</v>
      </c>
      <c r="I59" s="1">
        <v>536373</v>
      </c>
      <c r="J59" s="1">
        <v>21068</v>
      </c>
      <c r="K59" s="1" t="s">
        <v>66</v>
      </c>
      <c r="L59" s="1">
        <v>6</v>
      </c>
      <c r="M59" s="2">
        <v>40513.376388888886</v>
      </c>
      <c r="N59" s="1">
        <v>1.06</v>
      </c>
      <c r="O59" s="1">
        <v>17850</v>
      </c>
      <c r="P59" s="1" t="s">
        <v>10</v>
      </c>
      <c r="Q59" s="1"/>
    </row>
    <row r="60" spans="7:17" x14ac:dyDescent="0.25">
      <c r="G60" s="1" t="str">
        <f>TEXT(Table1[[#This Row],[InvoiceDate]],"H AM/PM")</f>
        <v>9 AM</v>
      </c>
      <c r="H60" s="1">
        <f t="shared" si="0"/>
        <v>9.9</v>
      </c>
      <c r="I60" s="1">
        <v>536373</v>
      </c>
      <c r="J60" s="1">
        <v>82483</v>
      </c>
      <c r="K60" s="1" t="s">
        <v>67</v>
      </c>
      <c r="L60" s="1">
        <v>2</v>
      </c>
      <c r="M60" s="2">
        <v>40513.376388888886</v>
      </c>
      <c r="N60" s="1">
        <v>4.95</v>
      </c>
      <c r="O60" s="1">
        <v>17850</v>
      </c>
      <c r="P60" s="1" t="s">
        <v>10</v>
      </c>
      <c r="Q60" s="1"/>
    </row>
    <row r="61" spans="7:17" x14ac:dyDescent="0.25">
      <c r="G61" s="1" t="str">
        <f>TEXT(Table1[[#This Row],[InvoiceDate]],"H AM/PM")</f>
        <v>9 AM</v>
      </c>
      <c r="H61" s="1">
        <f t="shared" si="0"/>
        <v>27.8</v>
      </c>
      <c r="I61" s="1">
        <v>536373</v>
      </c>
      <c r="J61" s="1">
        <v>82486</v>
      </c>
      <c r="K61" s="1" t="s">
        <v>68</v>
      </c>
      <c r="L61" s="1">
        <v>4</v>
      </c>
      <c r="M61" s="2">
        <v>40513.376388888886</v>
      </c>
      <c r="N61" s="1">
        <v>6.95</v>
      </c>
      <c r="O61" s="1">
        <v>17850</v>
      </c>
      <c r="P61" s="1" t="s">
        <v>10</v>
      </c>
      <c r="Q61" s="1"/>
    </row>
    <row r="62" spans="7:17" x14ac:dyDescent="0.25">
      <c r="G62" s="1" t="str">
        <f>TEXT(Table1[[#This Row],[InvoiceDate]],"H AM/PM")</f>
        <v>9 AM</v>
      </c>
      <c r="H62" s="1">
        <f t="shared" si="0"/>
        <v>12.600000000000001</v>
      </c>
      <c r="I62" s="1">
        <v>536373</v>
      </c>
      <c r="J62" s="1">
        <v>82482</v>
      </c>
      <c r="K62" s="1" t="s">
        <v>69</v>
      </c>
      <c r="L62" s="1">
        <v>6</v>
      </c>
      <c r="M62" s="2">
        <v>40513.376388888886</v>
      </c>
      <c r="N62" s="1">
        <v>2.1</v>
      </c>
      <c r="O62" s="1">
        <v>17850</v>
      </c>
      <c r="P62" s="1" t="s">
        <v>10</v>
      </c>
      <c r="Q62" s="1"/>
    </row>
    <row r="63" spans="7:17" x14ac:dyDescent="0.25">
      <c r="G63" s="1" t="str">
        <f>TEXT(Table1[[#This Row],[InvoiceDate]],"H AM/PM")</f>
        <v>9 AM</v>
      </c>
      <c r="H63" s="1">
        <f t="shared" si="0"/>
        <v>15.299999999999999</v>
      </c>
      <c r="I63" s="1">
        <v>536373</v>
      </c>
      <c r="J63" s="1" t="s">
        <v>70</v>
      </c>
      <c r="K63" s="1" t="s">
        <v>71</v>
      </c>
      <c r="L63" s="1">
        <v>6</v>
      </c>
      <c r="M63" s="2">
        <v>40513.376388888886</v>
      </c>
      <c r="N63" s="1">
        <v>2.5499999999999998</v>
      </c>
      <c r="O63" s="1">
        <v>17850</v>
      </c>
      <c r="P63" s="1" t="s">
        <v>10</v>
      </c>
      <c r="Q63" s="1"/>
    </row>
    <row r="64" spans="7:17" x14ac:dyDescent="0.25">
      <c r="G64" s="1" t="str">
        <f>TEXT(Table1[[#This Row],[InvoiceDate]],"H AM/PM")</f>
        <v>9 AM</v>
      </c>
      <c r="H64" s="1">
        <f t="shared" si="0"/>
        <v>20.34</v>
      </c>
      <c r="I64" s="1">
        <v>536373</v>
      </c>
      <c r="J64" s="1" t="s">
        <v>14</v>
      </c>
      <c r="K64" s="1" t="s">
        <v>15</v>
      </c>
      <c r="L64" s="1">
        <v>6</v>
      </c>
      <c r="M64" s="2">
        <v>40513.376388888886</v>
      </c>
      <c r="N64" s="1">
        <v>3.39</v>
      </c>
      <c r="O64" s="1">
        <v>17850</v>
      </c>
      <c r="P64" s="1" t="s">
        <v>10</v>
      </c>
      <c r="Q64" s="1"/>
    </row>
    <row r="65" spans="7:17" x14ac:dyDescent="0.25">
      <c r="G65" s="1" t="str">
        <f>TEXT(Table1[[#This Row],[InvoiceDate]],"H AM/PM")</f>
        <v>9 AM</v>
      </c>
      <c r="H65" s="1">
        <f t="shared" si="0"/>
        <v>20.34</v>
      </c>
      <c r="I65" s="1">
        <v>536373</v>
      </c>
      <c r="J65" s="1" t="s">
        <v>16</v>
      </c>
      <c r="K65" s="1" t="s">
        <v>17</v>
      </c>
      <c r="L65" s="1">
        <v>6</v>
      </c>
      <c r="M65" s="2">
        <v>40513.376388888886</v>
      </c>
      <c r="N65" s="1">
        <v>3.39</v>
      </c>
      <c r="O65" s="1">
        <v>17850</v>
      </c>
      <c r="P65" s="1" t="s">
        <v>10</v>
      </c>
      <c r="Q65" s="1"/>
    </row>
    <row r="66" spans="7:17" x14ac:dyDescent="0.25">
      <c r="G66" s="1" t="str">
        <f>TEXT(Table1[[#This Row],[InvoiceDate]],"H AM/PM")</f>
        <v>9 AM</v>
      </c>
      <c r="H66" s="1">
        <f t="shared" si="0"/>
        <v>15.3</v>
      </c>
      <c r="I66" s="1">
        <v>536373</v>
      </c>
      <c r="J66" s="1">
        <v>22752</v>
      </c>
      <c r="K66" s="1" t="s">
        <v>18</v>
      </c>
      <c r="L66" s="1">
        <v>2</v>
      </c>
      <c r="M66" s="2">
        <v>40513.376388888886</v>
      </c>
      <c r="N66" s="1">
        <v>7.65</v>
      </c>
      <c r="O66" s="1">
        <v>17850</v>
      </c>
      <c r="P66" s="1" t="s">
        <v>10</v>
      </c>
      <c r="Q66" s="1"/>
    </row>
    <row r="67" spans="7:17" x14ac:dyDescent="0.25">
      <c r="G67" s="1" t="str">
        <f>TEXT(Table1[[#This Row],[InvoiceDate]],"H AM/PM")</f>
        <v>9 AM</v>
      </c>
      <c r="H67" s="1">
        <f t="shared" ref="H67:H130" si="1">N67*L67</f>
        <v>25.5</v>
      </c>
      <c r="I67" s="1">
        <v>536373</v>
      </c>
      <c r="J67" s="1">
        <v>21730</v>
      </c>
      <c r="K67" s="1" t="s">
        <v>19</v>
      </c>
      <c r="L67" s="1">
        <v>6</v>
      </c>
      <c r="M67" s="2">
        <v>40513.376388888886</v>
      </c>
      <c r="N67" s="1">
        <v>4.25</v>
      </c>
      <c r="O67" s="1">
        <v>17850</v>
      </c>
      <c r="P67" s="1" t="s">
        <v>10</v>
      </c>
      <c r="Q67" s="1"/>
    </row>
    <row r="68" spans="7:17" x14ac:dyDescent="0.25">
      <c r="G68" s="1" t="str">
        <f>TEXT(Table1[[#This Row],[InvoiceDate]],"H AM/PM")</f>
        <v>9 AM</v>
      </c>
      <c r="H68" s="1">
        <f t="shared" si="1"/>
        <v>350.4</v>
      </c>
      <c r="I68" s="1">
        <v>536374</v>
      </c>
      <c r="J68" s="1">
        <v>21258</v>
      </c>
      <c r="K68" s="1" t="s">
        <v>72</v>
      </c>
      <c r="L68" s="1">
        <v>32</v>
      </c>
      <c r="M68" s="2">
        <v>40513.381249999999</v>
      </c>
      <c r="N68" s="1">
        <v>10.95</v>
      </c>
      <c r="O68" s="1">
        <v>15100</v>
      </c>
      <c r="P68" s="1" t="s">
        <v>10</v>
      </c>
      <c r="Q68" s="1"/>
    </row>
    <row r="69" spans="7:17" x14ac:dyDescent="0.25">
      <c r="G69" s="1" t="str">
        <f>TEXT(Table1[[#This Row],[InvoiceDate]],"H AM/PM")</f>
        <v>9 AM</v>
      </c>
      <c r="H69" s="1">
        <f t="shared" si="1"/>
        <v>15.299999999999999</v>
      </c>
      <c r="I69" s="1">
        <v>536375</v>
      </c>
      <c r="J69" s="1" t="s">
        <v>8</v>
      </c>
      <c r="K69" s="1" t="s">
        <v>9</v>
      </c>
      <c r="L69" s="1">
        <v>6</v>
      </c>
      <c r="M69" s="2">
        <v>40513.397222222222</v>
      </c>
      <c r="N69" s="1">
        <v>2.5499999999999998</v>
      </c>
      <c r="O69" s="1">
        <v>17850</v>
      </c>
      <c r="P69" s="1" t="s">
        <v>10</v>
      </c>
      <c r="Q69" s="1"/>
    </row>
    <row r="70" spans="7:17" x14ac:dyDescent="0.25">
      <c r="G70" s="1" t="str">
        <f>TEXT(Table1[[#This Row],[InvoiceDate]],"H AM/PM")</f>
        <v>9 AM</v>
      </c>
      <c r="H70" s="1">
        <f t="shared" si="1"/>
        <v>20.34</v>
      </c>
      <c r="I70" s="1">
        <v>536375</v>
      </c>
      <c r="J70" s="1">
        <v>71053</v>
      </c>
      <c r="K70" s="1" t="s">
        <v>11</v>
      </c>
      <c r="L70" s="1">
        <v>6</v>
      </c>
      <c r="M70" s="2">
        <v>40513.397222222222</v>
      </c>
      <c r="N70" s="1">
        <v>3.39</v>
      </c>
      <c r="O70" s="1">
        <v>17850</v>
      </c>
      <c r="P70" s="1" t="s">
        <v>10</v>
      </c>
      <c r="Q70" s="1"/>
    </row>
    <row r="71" spans="7:17" x14ac:dyDescent="0.25">
      <c r="G71" s="1" t="str">
        <f>TEXT(Table1[[#This Row],[InvoiceDate]],"H AM/PM")</f>
        <v>9 AM</v>
      </c>
      <c r="H71" s="1">
        <f t="shared" si="1"/>
        <v>22</v>
      </c>
      <c r="I71" s="1">
        <v>536375</v>
      </c>
      <c r="J71" s="1" t="s">
        <v>12</v>
      </c>
      <c r="K71" s="1" t="s">
        <v>13</v>
      </c>
      <c r="L71" s="1">
        <v>8</v>
      </c>
      <c r="M71" s="2">
        <v>40513.397222222222</v>
      </c>
      <c r="N71" s="1">
        <v>2.75</v>
      </c>
      <c r="O71" s="1">
        <v>17850</v>
      </c>
      <c r="P71" s="1" t="s">
        <v>10</v>
      </c>
      <c r="Q71" s="1"/>
    </row>
    <row r="72" spans="7:17" x14ac:dyDescent="0.25">
      <c r="G72" s="1" t="str">
        <f>TEXT(Table1[[#This Row],[InvoiceDate]],"H AM/PM")</f>
        <v>9 AM</v>
      </c>
      <c r="H72" s="1">
        <f t="shared" si="1"/>
        <v>29.700000000000003</v>
      </c>
      <c r="I72" s="1">
        <v>536375</v>
      </c>
      <c r="J72" s="1">
        <v>20679</v>
      </c>
      <c r="K72" s="1" t="s">
        <v>62</v>
      </c>
      <c r="L72" s="1">
        <v>6</v>
      </c>
      <c r="M72" s="2">
        <v>40513.397222222222</v>
      </c>
      <c r="N72" s="1">
        <v>4.95</v>
      </c>
      <c r="O72" s="1">
        <v>17850</v>
      </c>
      <c r="P72" s="1" t="s">
        <v>10</v>
      </c>
      <c r="Q72" s="1"/>
    </row>
    <row r="73" spans="7:17" x14ac:dyDescent="0.25">
      <c r="G73" s="1" t="str">
        <f>TEXT(Table1[[#This Row],[InvoiceDate]],"H AM/PM")</f>
        <v>9 AM</v>
      </c>
      <c r="H73" s="1">
        <f t="shared" si="1"/>
        <v>6.36</v>
      </c>
      <c r="I73" s="1">
        <v>536375</v>
      </c>
      <c r="J73" s="1">
        <v>37370</v>
      </c>
      <c r="K73" s="1" t="s">
        <v>63</v>
      </c>
      <c r="L73" s="1">
        <v>6</v>
      </c>
      <c r="M73" s="2">
        <v>40513.397222222222</v>
      </c>
      <c r="N73" s="1">
        <v>1.06</v>
      </c>
      <c r="O73" s="1">
        <v>17850</v>
      </c>
      <c r="P73" s="1" t="s">
        <v>10</v>
      </c>
      <c r="Q73" s="1"/>
    </row>
    <row r="74" spans="7:17" x14ac:dyDescent="0.25">
      <c r="G74" s="1" t="str">
        <f>TEXT(Table1[[#This Row],[InvoiceDate]],"H AM/PM")</f>
        <v>9 AM</v>
      </c>
      <c r="H74" s="1">
        <f t="shared" si="1"/>
        <v>6.36</v>
      </c>
      <c r="I74" s="1">
        <v>536375</v>
      </c>
      <c r="J74" s="1">
        <v>21871</v>
      </c>
      <c r="K74" s="1" t="s">
        <v>64</v>
      </c>
      <c r="L74" s="1">
        <v>6</v>
      </c>
      <c r="M74" s="2">
        <v>40513.397222222222</v>
      </c>
      <c r="N74" s="1">
        <v>1.06</v>
      </c>
      <c r="O74" s="1">
        <v>17850</v>
      </c>
      <c r="P74" s="1" t="s">
        <v>10</v>
      </c>
      <c r="Q74" s="1"/>
    </row>
    <row r="75" spans="7:17" x14ac:dyDescent="0.25">
      <c r="G75" s="1" t="str">
        <f>TEXT(Table1[[#This Row],[InvoiceDate]],"H AM/PM")</f>
        <v>9 AM</v>
      </c>
      <c r="H75" s="1">
        <f t="shared" si="1"/>
        <v>6.36</v>
      </c>
      <c r="I75" s="1">
        <v>536375</v>
      </c>
      <c r="J75" s="1">
        <v>21071</v>
      </c>
      <c r="K75" s="1" t="s">
        <v>65</v>
      </c>
      <c r="L75" s="1">
        <v>6</v>
      </c>
      <c r="M75" s="2">
        <v>40513.397222222222</v>
      </c>
      <c r="N75" s="1">
        <v>1.06</v>
      </c>
      <c r="O75" s="1">
        <v>17850</v>
      </c>
      <c r="P75" s="1" t="s">
        <v>10</v>
      </c>
      <c r="Q75" s="1"/>
    </row>
    <row r="76" spans="7:17" x14ac:dyDescent="0.25">
      <c r="G76" s="1" t="str">
        <f>TEXT(Table1[[#This Row],[InvoiceDate]],"H AM/PM")</f>
        <v>9 AM</v>
      </c>
      <c r="H76" s="1">
        <f t="shared" si="1"/>
        <v>6.36</v>
      </c>
      <c r="I76" s="1">
        <v>536375</v>
      </c>
      <c r="J76" s="1">
        <v>21068</v>
      </c>
      <c r="K76" s="1" t="s">
        <v>66</v>
      </c>
      <c r="L76" s="1">
        <v>6</v>
      </c>
      <c r="M76" s="2">
        <v>40513.397222222222</v>
      </c>
      <c r="N76" s="1">
        <v>1.06</v>
      </c>
      <c r="O76" s="1">
        <v>17850</v>
      </c>
      <c r="P76" s="1" t="s">
        <v>10</v>
      </c>
      <c r="Q76" s="1"/>
    </row>
    <row r="77" spans="7:17" x14ac:dyDescent="0.25">
      <c r="G77" s="1" t="str">
        <f>TEXT(Table1[[#This Row],[InvoiceDate]],"H AM/PM")</f>
        <v>9 AM</v>
      </c>
      <c r="H77" s="1">
        <f t="shared" si="1"/>
        <v>9.9</v>
      </c>
      <c r="I77" s="1">
        <v>536375</v>
      </c>
      <c r="J77" s="1">
        <v>82483</v>
      </c>
      <c r="K77" s="1" t="s">
        <v>67</v>
      </c>
      <c r="L77" s="1">
        <v>2</v>
      </c>
      <c r="M77" s="2">
        <v>40513.397222222222</v>
      </c>
      <c r="N77" s="1">
        <v>4.95</v>
      </c>
      <c r="O77" s="1">
        <v>17850</v>
      </c>
      <c r="P77" s="1" t="s">
        <v>10</v>
      </c>
      <c r="Q77" s="1"/>
    </row>
    <row r="78" spans="7:17" x14ac:dyDescent="0.25">
      <c r="G78" s="1" t="str">
        <f>TEXT(Table1[[#This Row],[InvoiceDate]],"H AM/PM")</f>
        <v>9 AM</v>
      </c>
      <c r="H78" s="1">
        <f t="shared" si="1"/>
        <v>27.8</v>
      </c>
      <c r="I78" s="1">
        <v>536375</v>
      </c>
      <c r="J78" s="1">
        <v>82486</v>
      </c>
      <c r="K78" s="1" t="s">
        <v>68</v>
      </c>
      <c r="L78" s="1">
        <v>4</v>
      </c>
      <c r="M78" s="2">
        <v>40513.397222222222</v>
      </c>
      <c r="N78" s="1">
        <v>6.95</v>
      </c>
      <c r="O78" s="1">
        <v>17850</v>
      </c>
      <c r="P78" s="1" t="s">
        <v>10</v>
      </c>
      <c r="Q78" s="1"/>
    </row>
    <row r="79" spans="7:17" x14ac:dyDescent="0.25">
      <c r="G79" s="1" t="str">
        <f>TEXT(Table1[[#This Row],[InvoiceDate]],"H AM/PM")</f>
        <v>9 AM</v>
      </c>
      <c r="H79" s="1">
        <f t="shared" si="1"/>
        <v>12.600000000000001</v>
      </c>
      <c r="I79" s="1">
        <v>536375</v>
      </c>
      <c r="J79" s="1">
        <v>82482</v>
      </c>
      <c r="K79" s="1" t="s">
        <v>69</v>
      </c>
      <c r="L79" s="1">
        <v>6</v>
      </c>
      <c r="M79" s="2">
        <v>40513.397222222222</v>
      </c>
      <c r="N79" s="1">
        <v>2.1</v>
      </c>
      <c r="O79" s="1">
        <v>17850</v>
      </c>
      <c r="P79" s="1" t="s">
        <v>10</v>
      </c>
      <c r="Q79" s="1"/>
    </row>
    <row r="80" spans="7:17" x14ac:dyDescent="0.25">
      <c r="G80" s="1" t="str">
        <f>TEXT(Table1[[#This Row],[InvoiceDate]],"H AM/PM")</f>
        <v>9 AM</v>
      </c>
      <c r="H80" s="1">
        <f t="shared" si="1"/>
        <v>15.299999999999999</v>
      </c>
      <c r="I80" s="1">
        <v>536375</v>
      </c>
      <c r="J80" s="1" t="s">
        <v>70</v>
      </c>
      <c r="K80" s="1" t="s">
        <v>71</v>
      </c>
      <c r="L80" s="1">
        <v>6</v>
      </c>
      <c r="M80" s="2">
        <v>40513.397222222222</v>
      </c>
      <c r="N80" s="1">
        <v>2.5499999999999998</v>
      </c>
      <c r="O80" s="1">
        <v>17850</v>
      </c>
      <c r="P80" s="1" t="s">
        <v>10</v>
      </c>
      <c r="Q80" s="1"/>
    </row>
    <row r="81" spans="7:17" x14ac:dyDescent="0.25">
      <c r="G81" s="1" t="str">
        <f>TEXT(Table1[[#This Row],[InvoiceDate]],"H AM/PM")</f>
        <v>9 AM</v>
      </c>
      <c r="H81" s="1">
        <f t="shared" si="1"/>
        <v>20.34</v>
      </c>
      <c r="I81" s="1">
        <v>536375</v>
      </c>
      <c r="J81" s="1" t="s">
        <v>14</v>
      </c>
      <c r="K81" s="1" t="s">
        <v>15</v>
      </c>
      <c r="L81" s="1">
        <v>6</v>
      </c>
      <c r="M81" s="2">
        <v>40513.397222222222</v>
      </c>
      <c r="N81" s="1">
        <v>3.39</v>
      </c>
      <c r="O81" s="1">
        <v>17850</v>
      </c>
      <c r="P81" s="1" t="s">
        <v>10</v>
      </c>
      <c r="Q81" s="1"/>
    </row>
    <row r="82" spans="7:17" x14ac:dyDescent="0.25">
      <c r="G82" s="1" t="str">
        <f>TEXT(Table1[[#This Row],[InvoiceDate]],"H AM/PM")</f>
        <v>9 AM</v>
      </c>
      <c r="H82" s="1">
        <f t="shared" si="1"/>
        <v>20.34</v>
      </c>
      <c r="I82" s="1">
        <v>536375</v>
      </c>
      <c r="J82" s="1" t="s">
        <v>16</v>
      </c>
      <c r="K82" s="1" t="s">
        <v>17</v>
      </c>
      <c r="L82" s="1">
        <v>6</v>
      </c>
      <c r="M82" s="2">
        <v>40513.397222222222</v>
      </c>
      <c r="N82" s="1">
        <v>3.39</v>
      </c>
      <c r="O82" s="1">
        <v>17850</v>
      </c>
      <c r="P82" s="1" t="s">
        <v>10</v>
      </c>
      <c r="Q82" s="1"/>
    </row>
    <row r="83" spans="7:17" x14ac:dyDescent="0.25">
      <c r="G83" s="1" t="str">
        <f>TEXT(Table1[[#This Row],[InvoiceDate]],"H AM/PM")</f>
        <v>9 AM</v>
      </c>
      <c r="H83" s="1">
        <f t="shared" si="1"/>
        <v>15.3</v>
      </c>
      <c r="I83" s="1">
        <v>536375</v>
      </c>
      <c r="J83" s="1">
        <v>22752</v>
      </c>
      <c r="K83" s="1" t="s">
        <v>18</v>
      </c>
      <c r="L83" s="1">
        <v>2</v>
      </c>
      <c r="M83" s="2">
        <v>40513.397222222222</v>
      </c>
      <c r="N83" s="1">
        <v>7.65</v>
      </c>
      <c r="O83" s="1">
        <v>17850</v>
      </c>
      <c r="P83" s="1" t="s">
        <v>10</v>
      </c>
      <c r="Q83" s="1"/>
    </row>
    <row r="84" spans="7:17" x14ac:dyDescent="0.25">
      <c r="G84" s="1" t="str">
        <f>TEXT(Table1[[#This Row],[InvoiceDate]],"H AM/PM")</f>
        <v>9 AM</v>
      </c>
      <c r="H84" s="1">
        <f t="shared" si="1"/>
        <v>25.5</v>
      </c>
      <c r="I84" s="1">
        <v>536375</v>
      </c>
      <c r="J84" s="1">
        <v>21730</v>
      </c>
      <c r="K84" s="1" t="s">
        <v>19</v>
      </c>
      <c r="L84" s="1">
        <v>6</v>
      </c>
      <c r="M84" s="2">
        <v>40513.397222222222</v>
      </c>
      <c r="N84" s="1">
        <v>4.25</v>
      </c>
      <c r="O84" s="1">
        <v>17850</v>
      </c>
      <c r="P84" s="1" t="s">
        <v>10</v>
      </c>
      <c r="Q84" s="1"/>
    </row>
    <row r="85" spans="7:17" x14ac:dyDescent="0.25">
      <c r="G85" s="1" t="str">
        <f>TEXT(Table1[[#This Row],[InvoiceDate]],"H AM/PM")</f>
        <v>9 AM</v>
      </c>
      <c r="H85" s="1">
        <f t="shared" si="1"/>
        <v>165.60000000000002</v>
      </c>
      <c r="I85" s="1">
        <v>536376</v>
      </c>
      <c r="J85" s="1">
        <v>22114</v>
      </c>
      <c r="K85" s="1" t="s">
        <v>73</v>
      </c>
      <c r="L85" s="1">
        <v>48</v>
      </c>
      <c r="M85" s="2">
        <v>40513.397222222222</v>
      </c>
      <c r="N85" s="1">
        <v>3.45</v>
      </c>
      <c r="O85" s="1">
        <v>15291</v>
      </c>
      <c r="P85" s="1" t="s">
        <v>10</v>
      </c>
      <c r="Q85" s="1"/>
    </row>
    <row r="86" spans="7:17" x14ac:dyDescent="0.25">
      <c r="G86" s="1" t="str">
        <f>TEXT(Table1[[#This Row],[InvoiceDate]],"H AM/PM")</f>
        <v>9 AM</v>
      </c>
      <c r="H86" s="1">
        <f t="shared" si="1"/>
        <v>163.19999999999999</v>
      </c>
      <c r="I86" s="1">
        <v>536376</v>
      </c>
      <c r="J86" s="1">
        <v>21733</v>
      </c>
      <c r="K86" s="1" t="s">
        <v>74</v>
      </c>
      <c r="L86" s="1">
        <v>64</v>
      </c>
      <c r="M86" s="2">
        <v>40513.397222222222</v>
      </c>
      <c r="N86" s="1">
        <v>2.5499999999999998</v>
      </c>
      <c r="O86" s="1">
        <v>15291</v>
      </c>
      <c r="P86" s="1" t="s">
        <v>10</v>
      </c>
      <c r="Q86" s="1"/>
    </row>
    <row r="87" spans="7:17" x14ac:dyDescent="0.25">
      <c r="G87" s="1" t="str">
        <f>TEXT(Table1[[#This Row],[InvoiceDate]],"H AM/PM")</f>
        <v>9 AM</v>
      </c>
      <c r="H87" s="1">
        <f t="shared" si="1"/>
        <v>11.100000000000001</v>
      </c>
      <c r="I87" s="1">
        <v>536377</v>
      </c>
      <c r="J87" s="1">
        <v>22632</v>
      </c>
      <c r="K87" s="1" t="s">
        <v>21</v>
      </c>
      <c r="L87" s="1">
        <v>6</v>
      </c>
      <c r="M87" s="2">
        <v>40513.398611111108</v>
      </c>
      <c r="N87" s="1">
        <v>1.85</v>
      </c>
      <c r="O87" s="1">
        <v>17850</v>
      </c>
      <c r="P87" s="1" t="s">
        <v>10</v>
      </c>
      <c r="Q87" s="1"/>
    </row>
    <row r="88" spans="7:17" x14ac:dyDescent="0.25">
      <c r="G88" s="1" t="str">
        <f>TEXT(Table1[[#This Row],[InvoiceDate]],"H AM/PM")</f>
        <v>9 AM</v>
      </c>
      <c r="H88" s="1">
        <f t="shared" si="1"/>
        <v>11.100000000000001</v>
      </c>
      <c r="I88" s="1">
        <v>536377</v>
      </c>
      <c r="J88" s="1">
        <v>22633</v>
      </c>
      <c r="K88" s="1" t="s">
        <v>20</v>
      </c>
      <c r="L88" s="1">
        <v>6</v>
      </c>
      <c r="M88" s="2">
        <v>40513.398611111108</v>
      </c>
      <c r="N88" s="1">
        <v>1.85</v>
      </c>
      <c r="O88" s="1">
        <v>17850</v>
      </c>
      <c r="P88" s="1" t="s">
        <v>10</v>
      </c>
      <c r="Q88" s="1"/>
    </row>
    <row r="89" spans="7:17" x14ac:dyDescent="0.25">
      <c r="G89" s="1" t="str">
        <f>TEXT(Table1[[#This Row],[InvoiceDate]],"H AM/PM")</f>
        <v>9 AM</v>
      </c>
      <c r="H89" s="1">
        <f t="shared" si="1"/>
        <v>19.5</v>
      </c>
      <c r="I89" s="1">
        <v>536378</v>
      </c>
      <c r="J89" s="1">
        <v>22386</v>
      </c>
      <c r="K89" s="1" t="s">
        <v>75</v>
      </c>
      <c r="L89" s="1">
        <v>10</v>
      </c>
      <c r="M89" s="2">
        <v>40513.400694444441</v>
      </c>
      <c r="N89" s="1">
        <v>1.95</v>
      </c>
      <c r="O89" s="1">
        <v>14688</v>
      </c>
      <c r="P89" s="1" t="s">
        <v>10</v>
      </c>
      <c r="Q89" s="1"/>
    </row>
    <row r="90" spans="7:17" x14ac:dyDescent="0.25">
      <c r="G90" s="1" t="str">
        <f>TEXT(Table1[[#This Row],[InvoiceDate]],"H AM/PM")</f>
        <v>9 AM</v>
      </c>
      <c r="H90" s="1">
        <f t="shared" si="1"/>
        <v>19.5</v>
      </c>
      <c r="I90" s="1">
        <v>536378</v>
      </c>
      <c r="J90" s="1" t="s">
        <v>76</v>
      </c>
      <c r="K90" s="1" t="s">
        <v>77</v>
      </c>
      <c r="L90" s="1">
        <v>10</v>
      </c>
      <c r="M90" s="2">
        <v>40513.400694444441</v>
      </c>
      <c r="N90" s="1">
        <v>1.95</v>
      </c>
      <c r="O90" s="1">
        <v>14688</v>
      </c>
      <c r="P90" s="1" t="s">
        <v>10</v>
      </c>
      <c r="Q90" s="1"/>
    </row>
    <row r="91" spans="7:17" x14ac:dyDescent="0.25">
      <c r="G91" s="1" t="str">
        <f>TEXT(Table1[[#This Row],[InvoiceDate]],"H AM/PM")</f>
        <v>9 AM</v>
      </c>
      <c r="H91" s="1">
        <f t="shared" si="1"/>
        <v>29.5</v>
      </c>
      <c r="I91" s="1">
        <v>536378</v>
      </c>
      <c r="J91" s="1">
        <v>21033</v>
      </c>
      <c r="K91" s="1" t="s">
        <v>78</v>
      </c>
      <c r="L91" s="1">
        <v>10</v>
      </c>
      <c r="M91" s="2">
        <v>40513.400694444441</v>
      </c>
      <c r="N91" s="1">
        <v>2.95</v>
      </c>
      <c r="O91" s="1">
        <v>14688</v>
      </c>
      <c r="P91" s="1" t="s">
        <v>10</v>
      </c>
      <c r="Q91" s="1"/>
    </row>
    <row r="92" spans="7:17" x14ac:dyDescent="0.25">
      <c r="G92" s="1" t="str">
        <f>TEXT(Table1[[#This Row],[InvoiceDate]],"H AM/PM")</f>
        <v>9 AM</v>
      </c>
      <c r="H92" s="1">
        <f t="shared" si="1"/>
        <v>8.5</v>
      </c>
      <c r="I92" s="1">
        <v>536378</v>
      </c>
      <c r="J92" s="1">
        <v>20723</v>
      </c>
      <c r="K92" s="1" t="s">
        <v>79</v>
      </c>
      <c r="L92" s="1">
        <v>10</v>
      </c>
      <c r="M92" s="2">
        <v>40513.400694444441</v>
      </c>
      <c r="N92" s="1">
        <v>0.85</v>
      </c>
      <c r="O92" s="1">
        <v>14688</v>
      </c>
      <c r="P92" s="1" t="s">
        <v>10</v>
      </c>
      <c r="Q92" s="1"/>
    </row>
    <row r="93" spans="7:17" x14ac:dyDescent="0.25">
      <c r="G93" s="1" t="str">
        <f>TEXT(Table1[[#This Row],[InvoiceDate]],"H AM/PM")</f>
        <v>9 AM</v>
      </c>
      <c r="H93" s="1">
        <f t="shared" si="1"/>
        <v>45</v>
      </c>
      <c r="I93" s="1">
        <v>536378</v>
      </c>
      <c r="J93" s="1" t="s">
        <v>80</v>
      </c>
      <c r="K93" s="1" t="s">
        <v>81</v>
      </c>
      <c r="L93" s="1">
        <v>12</v>
      </c>
      <c r="M93" s="2">
        <v>40513.400694444441</v>
      </c>
      <c r="N93" s="1">
        <v>3.75</v>
      </c>
      <c r="O93" s="1">
        <v>14688</v>
      </c>
      <c r="P93" s="1" t="s">
        <v>10</v>
      </c>
      <c r="Q93" s="1"/>
    </row>
    <row r="94" spans="7:17" x14ac:dyDescent="0.25">
      <c r="G94" s="1" t="str">
        <f>TEXT(Table1[[#This Row],[InvoiceDate]],"H AM/PM")</f>
        <v>9 AM</v>
      </c>
      <c r="H94" s="1">
        <f t="shared" si="1"/>
        <v>22.5</v>
      </c>
      <c r="I94" s="1">
        <v>536378</v>
      </c>
      <c r="J94" s="1" t="s">
        <v>82</v>
      </c>
      <c r="K94" s="1" t="s">
        <v>83</v>
      </c>
      <c r="L94" s="1">
        <v>6</v>
      </c>
      <c r="M94" s="2">
        <v>40513.400694444441</v>
      </c>
      <c r="N94" s="1">
        <v>3.75</v>
      </c>
      <c r="O94" s="1">
        <v>14688</v>
      </c>
      <c r="P94" s="1" t="s">
        <v>10</v>
      </c>
      <c r="Q94" s="1"/>
    </row>
    <row r="95" spans="7:17" x14ac:dyDescent="0.25">
      <c r="G95" s="1" t="str">
        <f>TEXT(Table1[[#This Row],[InvoiceDate]],"H AM/PM")</f>
        <v>9 AM</v>
      </c>
      <c r="H95" s="1">
        <f t="shared" si="1"/>
        <v>10.199999999999999</v>
      </c>
      <c r="I95" s="1">
        <v>536378</v>
      </c>
      <c r="J95" s="1">
        <v>21094</v>
      </c>
      <c r="K95" s="1" t="s">
        <v>84</v>
      </c>
      <c r="L95" s="1">
        <v>12</v>
      </c>
      <c r="M95" s="2">
        <v>40513.400694444441</v>
      </c>
      <c r="N95" s="1">
        <v>0.85</v>
      </c>
      <c r="O95" s="1">
        <v>14688</v>
      </c>
      <c r="P95" s="1" t="s">
        <v>10</v>
      </c>
      <c r="Q95" s="1"/>
    </row>
    <row r="96" spans="7:17" x14ac:dyDescent="0.25">
      <c r="G96" s="1" t="str">
        <f>TEXT(Table1[[#This Row],[InvoiceDate]],"H AM/PM")</f>
        <v>9 AM</v>
      </c>
      <c r="H96" s="1">
        <f t="shared" si="1"/>
        <v>16.5</v>
      </c>
      <c r="I96" s="1">
        <v>536378</v>
      </c>
      <c r="J96" s="1">
        <v>20725</v>
      </c>
      <c r="K96" s="1" t="s">
        <v>85</v>
      </c>
      <c r="L96" s="1">
        <v>10</v>
      </c>
      <c r="M96" s="2">
        <v>40513.400694444441</v>
      </c>
      <c r="N96" s="1">
        <v>1.65</v>
      </c>
      <c r="O96" s="1">
        <v>14688</v>
      </c>
      <c r="P96" s="1" t="s">
        <v>10</v>
      </c>
      <c r="Q96" s="1"/>
    </row>
    <row r="97" spans="7:17" x14ac:dyDescent="0.25">
      <c r="G97" s="1" t="str">
        <f>TEXT(Table1[[#This Row],[InvoiceDate]],"H AM/PM")</f>
        <v>9 AM</v>
      </c>
      <c r="H97" s="1">
        <f t="shared" si="1"/>
        <v>15.299999999999999</v>
      </c>
      <c r="I97" s="1">
        <v>536378</v>
      </c>
      <c r="J97" s="1">
        <v>21559</v>
      </c>
      <c r="K97" s="1" t="s">
        <v>86</v>
      </c>
      <c r="L97" s="1">
        <v>6</v>
      </c>
      <c r="M97" s="2">
        <v>40513.400694444441</v>
      </c>
      <c r="N97" s="1">
        <v>2.5499999999999998</v>
      </c>
      <c r="O97" s="1">
        <v>14688</v>
      </c>
      <c r="P97" s="1" t="s">
        <v>10</v>
      </c>
      <c r="Q97" s="1"/>
    </row>
    <row r="98" spans="7:17" x14ac:dyDescent="0.25">
      <c r="G98" s="1" t="str">
        <f>TEXT(Table1[[#This Row],[InvoiceDate]],"H AM/PM")</f>
        <v>9 AM</v>
      </c>
      <c r="H98" s="1">
        <f t="shared" si="1"/>
        <v>15.299999999999999</v>
      </c>
      <c r="I98" s="1">
        <v>536378</v>
      </c>
      <c r="J98" s="1">
        <v>22352</v>
      </c>
      <c r="K98" s="1" t="s">
        <v>87</v>
      </c>
      <c r="L98" s="1">
        <v>6</v>
      </c>
      <c r="M98" s="2">
        <v>40513.400694444441</v>
      </c>
      <c r="N98" s="1">
        <v>2.5499999999999998</v>
      </c>
      <c r="O98" s="1">
        <v>14688</v>
      </c>
      <c r="P98" s="1" t="s">
        <v>10</v>
      </c>
      <c r="Q98" s="1"/>
    </row>
    <row r="99" spans="7:17" x14ac:dyDescent="0.25">
      <c r="G99" s="1" t="str">
        <f>TEXT(Table1[[#This Row],[InvoiceDate]],"H AM/PM")</f>
        <v>9 AM</v>
      </c>
      <c r="H99" s="1">
        <f t="shared" si="1"/>
        <v>50.4</v>
      </c>
      <c r="I99" s="1">
        <v>536378</v>
      </c>
      <c r="J99" s="1">
        <v>21212</v>
      </c>
      <c r="K99" s="1" t="s">
        <v>88</v>
      </c>
      <c r="L99" s="1">
        <v>120</v>
      </c>
      <c r="M99" s="2">
        <v>40513.400694444441</v>
      </c>
      <c r="N99" s="1">
        <v>0.42</v>
      </c>
      <c r="O99" s="1">
        <v>14688</v>
      </c>
      <c r="P99" s="1" t="s">
        <v>10</v>
      </c>
      <c r="Q99" s="1"/>
    </row>
    <row r="100" spans="7:17" x14ac:dyDescent="0.25">
      <c r="G100" s="1" t="str">
        <f>TEXT(Table1[[#This Row],[InvoiceDate]],"H AM/PM")</f>
        <v>9 AM</v>
      </c>
      <c r="H100" s="1">
        <f t="shared" si="1"/>
        <v>13.200000000000001</v>
      </c>
      <c r="I100" s="1">
        <v>536378</v>
      </c>
      <c r="J100" s="1">
        <v>21975</v>
      </c>
      <c r="K100" s="1" t="s">
        <v>89</v>
      </c>
      <c r="L100" s="1">
        <v>24</v>
      </c>
      <c r="M100" s="2">
        <v>40513.400694444441</v>
      </c>
      <c r="N100" s="1">
        <v>0.55000000000000004</v>
      </c>
      <c r="O100" s="1">
        <v>14688</v>
      </c>
      <c r="P100" s="1" t="s">
        <v>10</v>
      </c>
      <c r="Q100" s="1"/>
    </row>
    <row r="101" spans="7:17" x14ac:dyDescent="0.25">
      <c r="G101" s="1" t="str">
        <f>TEXT(Table1[[#This Row],[InvoiceDate]],"H AM/PM")</f>
        <v>9 AM</v>
      </c>
      <c r="H101" s="1">
        <f t="shared" si="1"/>
        <v>13.200000000000001</v>
      </c>
      <c r="I101" s="1">
        <v>536378</v>
      </c>
      <c r="J101" s="1">
        <v>21977</v>
      </c>
      <c r="K101" s="1" t="s">
        <v>90</v>
      </c>
      <c r="L101" s="1">
        <v>24</v>
      </c>
      <c r="M101" s="2">
        <v>40513.400694444441</v>
      </c>
      <c r="N101" s="1">
        <v>0.55000000000000004</v>
      </c>
      <c r="O101" s="1">
        <v>14688</v>
      </c>
      <c r="P101" s="1" t="s">
        <v>10</v>
      </c>
      <c r="Q101" s="1"/>
    </row>
    <row r="102" spans="7:17" x14ac:dyDescent="0.25">
      <c r="G102" s="1" t="str">
        <f>TEXT(Table1[[#This Row],[InvoiceDate]],"H AM/PM")</f>
        <v>9 AM</v>
      </c>
      <c r="H102" s="1">
        <f t="shared" si="1"/>
        <v>13.200000000000001</v>
      </c>
      <c r="I102" s="1">
        <v>536378</v>
      </c>
      <c r="J102" s="1">
        <v>84991</v>
      </c>
      <c r="K102" s="1" t="s">
        <v>91</v>
      </c>
      <c r="L102" s="1">
        <v>24</v>
      </c>
      <c r="M102" s="2">
        <v>40513.400694444441</v>
      </c>
      <c r="N102" s="1">
        <v>0.55000000000000004</v>
      </c>
      <c r="O102" s="1">
        <v>14688</v>
      </c>
      <c r="P102" s="1" t="s">
        <v>10</v>
      </c>
      <c r="Q102" s="1"/>
    </row>
    <row r="103" spans="7:17" x14ac:dyDescent="0.25">
      <c r="G103" s="1" t="str">
        <f>TEXT(Table1[[#This Row],[InvoiceDate]],"H AM/PM")</f>
        <v>9 AM</v>
      </c>
      <c r="H103" s="1">
        <f t="shared" si="1"/>
        <v>17.700000000000003</v>
      </c>
      <c r="I103" s="1">
        <v>536378</v>
      </c>
      <c r="J103" s="1" t="s">
        <v>92</v>
      </c>
      <c r="K103" s="1" t="s">
        <v>93</v>
      </c>
      <c r="L103" s="1">
        <v>6</v>
      </c>
      <c r="M103" s="2">
        <v>40513.400694444441</v>
      </c>
      <c r="N103" s="1">
        <v>2.95</v>
      </c>
      <c r="O103" s="1">
        <v>14688</v>
      </c>
      <c r="P103" s="1" t="s">
        <v>10</v>
      </c>
      <c r="Q103" s="1"/>
    </row>
    <row r="104" spans="7:17" x14ac:dyDescent="0.25">
      <c r="G104" s="1" t="str">
        <f>TEXT(Table1[[#This Row],[InvoiceDate]],"H AM/PM")</f>
        <v>9 AM</v>
      </c>
      <c r="H104" s="1">
        <f t="shared" si="1"/>
        <v>60</v>
      </c>
      <c r="I104" s="1">
        <v>536378</v>
      </c>
      <c r="J104" s="1" t="s">
        <v>94</v>
      </c>
      <c r="K104" s="1" t="s">
        <v>95</v>
      </c>
      <c r="L104" s="1">
        <v>48</v>
      </c>
      <c r="M104" s="2">
        <v>40513.400694444441</v>
      </c>
      <c r="N104" s="1">
        <v>1.25</v>
      </c>
      <c r="O104" s="1">
        <v>14688</v>
      </c>
      <c r="P104" s="1" t="s">
        <v>10</v>
      </c>
      <c r="Q104" s="1"/>
    </row>
    <row r="105" spans="7:17" x14ac:dyDescent="0.25">
      <c r="G105" s="1" t="str">
        <f>TEXT(Table1[[#This Row],[InvoiceDate]],"H AM/PM")</f>
        <v>9 AM</v>
      </c>
      <c r="H105" s="1">
        <f t="shared" si="1"/>
        <v>36.480000000000004</v>
      </c>
      <c r="I105" s="1">
        <v>536378</v>
      </c>
      <c r="J105" s="1" t="s">
        <v>96</v>
      </c>
      <c r="K105" s="1" t="s">
        <v>97</v>
      </c>
      <c r="L105" s="1">
        <v>96</v>
      </c>
      <c r="M105" s="2">
        <v>40513.400694444441</v>
      </c>
      <c r="N105" s="1">
        <v>0.38</v>
      </c>
      <c r="O105" s="1">
        <v>14688</v>
      </c>
      <c r="P105" s="1" t="s">
        <v>10</v>
      </c>
      <c r="Q105" s="1"/>
    </row>
    <row r="106" spans="7:17" x14ac:dyDescent="0.25">
      <c r="G106" s="1" t="str">
        <f>TEXT(Table1[[#This Row],[InvoiceDate]],"H AM/PM")</f>
        <v>9 AM</v>
      </c>
      <c r="H106" s="1">
        <f t="shared" si="1"/>
        <v>19.5</v>
      </c>
      <c r="I106" s="1">
        <v>536378</v>
      </c>
      <c r="J106" s="1">
        <v>21931</v>
      </c>
      <c r="K106" s="1" t="s">
        <v>98</v>
      </c>
      <c r="L106" s="1">
        <v>10</v>
      </c>
      <c r="M106" s="2">
        <v>40513.400694444441</v>
      </c>
      <c r="N106" s="1">
        <v>1.95</v>
      </c>
      <c r="O106" s="1">
        <v>14688</v>
      </c>
      <c r="P106" s="1" t="s">
        <v>10</v>
      </c>
      <c r="Q106" s="1"/>
    </row>
    <row r="107" spans="7:17" x14ac:dyDescent="0.25">
      <c r="G107" s="1" t="str">
        <f>TEXT(Table1[[#This Row],[InvoiceDate]],"H AM/PM")</f>
        <v>9 AM</v>
      </c>
      <c r="H107" s="1">
        <f t="shared" si="1"/>
        <v>19.5</v>
      </c>
      <c r="I107" s="1">
        <v>536378</v>
      </c>
      <c r="J107" s="1">
        <v>21929</v>
      </c>
      <c r="K107" s="1" t="s">
        <v>99</v>
      </c>
      <c r="L107" s="1">
        <v>10</v>
      </c>
      <c r="M107" s="2">
        <v>40513.400694444441</v>
      </c>
      <c r="N107" s="1">
        <v>1.95</v>
      </c>
      <c r="O107" s="1">
        <v>14688</v>
      </c>
      <c r="P107" s="1" t="s">
        <v>10</v>
      </c>
      <c r="Q107" s="1"/>
    </row>
    <row r="108" spans="7:17" x14ac:dyDescent="0.25">
      <c r="G108" s="1" t="str">
        <f>TEXT(Table1[[#This Row],[InvoiceDate]],"H AM/PM")</f>
        <v>9 AM</v>
      </c>
      <c r="H108" s="1">
        <f t="shared" si="1"/>
        <v>34.799999999999997</v>
      </c>
      <c r="I108" s="1">
        <v>536380</v>
      </c>
      <c r="J108" s="1">
        <v>22961</v>
      </c>
      <c r="K108" s="1" t="s">
        <v>100</v>
      </c>
      <c r="L108" s="1">
        <v>24</v>
      </c>
      <c r="M108" s="2">
        <v>40513.40347222222</v>
      </c>
      <c r="N108" s="1">
        <v>1.45</v>
      </c>
      <c r="O108" s="1">
        <v>17809</v>
      </c>
      <c r="P108" s="1" t="s">
        <v>10</v>
      </c>
      <c r="Q108" s="1"/>
    </row>
    <row r="109" spans="7:17" x14ac:dyDescent="0.25">
      <c r="G109" s="1" t="str">
        <f>TEXT(Table1[[#This Row],[InvoiceDate]],"H AM/PM")</f>
        <v>9 AM</v>
      </c>
      <c r="H109" s="1">
        <f t="shared" si="1"/>
        <v>97.75</v>
      </c>
      <c r="I109" s="1">
        <v>536381</v>
      </c>
      <c r="J109" s="1">
        <v>22139</v>
      </c>
      <c r="K109" s="1" t="s">
        <v>101</v>
      </c>
      <c r="L109" s="1">
        <v>23</v>
      </c>
      <c r="M109" s="2">
        <v>40513.40347222222</v>
      </c>
      <c r="N109" s="1">
        <v>4.25</v>
      </c>
      <c r="O109" s="1">
        <v>15311</v>
      </c>
      <c r="P109" s="1" t="s">
        <v>10</v>
      </c>
      <c r="Q109" s="1"/>
    </row>
    <row r="110" spans="7:17" x14ac:dyDescent="0.25">
      <c r="G110" s="1" t="str">
        <f>TEXT(Table1[[#This Row],[InvoiceDate]],"H AM/PM")</f>
        <v>9 AM</v>
      </c>
      <c r="H110" s="1">
        <f t="shared" si="1"/>
        <v>24.75</v>
      </c>
      <c r="I110" s="1">
        <v>536381</v>
      </c>
      <c r="J110" s="1">
        <v>84854</v>
      </c>
      <c r="K110" s="1" t="s">
        <v>102</v>
      </c>
      <c r="L110" s="1">
        <v>5</v>
      </c>
      <c r="M110" s="2">
        <v>40513.40347222222</v>
      </c>
      <c r="N110" s="1">
        <v>4.95</v>
      </c>
      <c r="O110" s="1">
        <v>15311</v>
      </c>
      <c r="P110" s="1" t="s">
        <v>10</v>
      </c>
      <c r="Q110" s="1"/>
    </row>
    <row r="111" spans="7:17" x14ac:dyDescent="0.25">
      <c r="G111" s="1" t="str">
        <f>TEXT(Table1[[#This Row],[InvoiceDate]],"H AM/PM")</f>
        <v>9 AM</v>
      </c>
      <c r="H111" s="1">
        <f t="shared" si="1"/>
        <v>19.5</v>
      </c>
      <c r="I111" s="1">
        <v>536381</v>
      </c>
      <c r="J111" s="1">
        <v>22411</v>
      </c>
      <c r="K111" s="1" t="s">
        <v>103</v>
      </c>
      <c r="L111" s="1">
        <v>10</v>
      </c>
      <c r="M111" s="2">
        <v>40513.40347222222</v>
      </c>
      <c r="N111" s="1">
        <v>1.95</v>
      </c>
      <c r="O111" s="1">
        <v>15311</v>
      </c>
      <c r="P111" s="1" t="s">
        <v>10</v>
      </c>
      <c r="Q111" s="1"/>
    </row>
    <row r="112" spans="7:17" x14ac:dyDescent="0.25">
      <c r="G112" s="1" t="str">
        <f>TEXT(Table1[[#This Row],[InvoiceDate]],"H AM/PM")</f>
        <v>9 AM</v>
      </c>
      <c r="H112" s="1">
        <f t="shared" si="1"/>
        <v>4.2</v>
      </c>
      <c r="I112" s="1">
        <v>536381</v>
      </c>
      <c r="J112" s="1">
        <v>82567</v>
      </c>
      <c r="K112" s="1" t="s">
        <v>104</v>
      </c>
      <c r="L112" s="1">
        <v>2</v>
      </c>
      <c r="M112" s="2">
        <v>40513.40347222222</v>
      </c>
      <c r="N112" s="1">
        <v>2.1</v>
      </c>
      <c r="O112" s="1">
        <v>15311</v>
      </c>
      <c r="P112" s="1" t="s">
        <v>10</v>
      </c>
      <c r="Q112" s="1"/>
    </row>
    <row r="113" spans="7:17" x14ac:dyDescent="0.25">
      <c r="G113" s="1" t="str">
        <f>TEXT(Table1[[#This Row],[InvoiceDate]],"H AM/PM")</f>
        <v>9 AM</v>
      </c>
      <c r="H113" s="1">
        <f t="shared" si="1"/>
        <v>7.5</v>
      </c>
      <c r="I113" s="1">
        <v>536381</v>
      </c>
      <c r="J113" s="1">
        <v>21672</v>
      </c>
      <c r="K113" s="1" t="s">
        <v>105</v>
      </c>
      <c r="L113" s="1">
        <v>6</v>
      </c>
      <c r="M113" s="2">
        <v>40513.40347222222</v>
      </c>
      <c r="N113" s="1">
        <v>1.25</v>
      </c>
      <c r="O113" s="1">
        <v>15311</v>
      </c>
      <c r="P113" s="1" t="s">
        <v>10</v>
      </c>
      <c r="Q113" s="1"/>
    </row>
    <row r="114" spans="7:17" x14ac:dyDescent="0.25">
      <c r="G114" s="1" t="str">
        <f>TEXT(Table1[[#This Row],[InvoiceDate]],"H AM/PM")</f>
        <v>9 AM</v>
      </c>
      <c r="H114" s="1">
        <f t="shared" si="1"/>
        <v>30</v>
      </c>
      <c r="I114" s="1">
        <v>536381</v>
      </c>
      <c r="J114" s="1">
        <v>22774</v>
      </c>
      <c r="K114" s="1" t="s">
        <v>106</v>
      </c>
      <c r="L114" s="1">
        <v>24</v>
      </c>
      <c r="M114" s="2">
        <v>40513.40347222222</v>
      </c>
      <c r="N114" s="1">
        <v>1.25</v>
      </c>
      <c r="O114" s="1">
        <v>15311</v>
      </c>
      <c r="P114" s="1" t="s">
        <v>10</v>
      </c>
      <c r="Q114" s="1"/>
    </row>
    <row r="115" spans="7:17" x14ac:dyDescent="0.25">
      <c r="G115" s="1" t="str">
        <f>TEXT(Table1[[#This Row],[InvoiceDate]],"H AM/PM")</f>
        <v>9 AM</v>
      </c>
      <c r="H115" s="1">
        <f t="shared" si="1"/>
        <v>30</v>
      </c>
      <c r="I115" s="1">
        <v>536381</v>
      </c>
      <c r="J115" s="1">
        <v>22771</v>
      </c>
      <c r="K115" s="1" t="s">
        <v>107</v>
      </c>
      <c r="L115" s="1">
        <v>24</v>
      </c>
      <c r="M115" s="2">
        <v>40513.40347222222</v>
      </c>
      <c r="N115" s="1">
        <v>1.25</v>
      </c>
      <c r="O115" s="1">
        <v>15311</v>
      </c>
      <c r="P115" s="1" t="s">
        <v>10</v>
      </c>
      <c r="Q115" s="1"/>
    </row>
    <row r="116" spans="7:17" x14ac:dyDescent="0.25">
      <c r="G116" s="1" t="str">
        <f>TEXT(Table1[[#This Row],[InvoiceDate]],"H AM/PM")</f>
        <v>9 AM</v>
      </c>
      <c r="H116" s="1">
        <f t="shared" si="1"/>
        <v>1.25</v>
      </c>
      <c r="I116" s="1">
        <v>536381</v>
      </c>
      <c r="J116" s="1">
        <v>71270</v>
      </c>
      <c r="K116" s="1" t="s">
        <v>108</v>
      </c>
      <c r="L116" s="1">
        <v>1</v>
      </c>
      <c r="M116" s="2">
        <v>40513.40347222222</v>
      </c>
      <c r="N116" s="1">
        <v>1.25</v>
      </c>
      <c r="O116" s="1">
        <v>15311</v>
      </c>
      <c r="P116" s="1" t="s">
        <v>10</v>
      </c>
      <c r="Q116" s="1"/>
    </row>
    <row r="117" spans="7:17" x14ac:dyDescent="0.25">
      <c r="G117" s="1" t="str">
        <f>TEXT(Table1[[#This Row],[InvoiceDate]],"H AM/PM")</f>
        <v>9 AM</v>
      </c>
      <c r="H117" s="1">
        <f t="shared" si="1"/>
        <v>0.85</v>
      </c>
      <c r="I117" s="1">
        <v>536381</v>
      </c>
      <c r="J117" s="1">
        <v>22262</v>
      </c>
      <c r="K117" s="1" t="s">
        <v>109</v>
      </c>
      <c r="L117" s="1">
        <v>1</v>
      </c>
      <c r="M117" s="2">
        <v>40513.40347222222</v>
      </c>
      <c r="N117" s="1">
        <v>0.85</v>
      </c>
      <c r="O117" s="1">
        <v>15311</v>
      </c>
      <c r="P117" s="1" t="s">
        <v>10</v>
      </c>
      <c r="Q117" s="1"/>
    </row>
    <row r="118" spans="7:17" x14ac:dyDescent="0.25">
      <c r="G118" s="1" t="str">
        <f>TEXT(Table1[[#This Row],[InvoiceDate]],"H AM/PM")</f>
        <v>9 AM</v>
      </c>
      <c r="H118" s="1">
        <f t="shared" si="1"/>
        <v>2.5499999999999998</v>
      </c>
      <c r="I118" s="1">
        <v>536381</v>
      </c>
      <c r="J118" s="1">
        <v>22637</v>
      </c>
      <c r="K118" s="1" t="s">
        <v>110</v>
      </c>
      <c r="L118" s="1">
        <v>1</v>
      </c>
      <c r="M118" s="2">
        <v>40513.40347222222</v>
      </c>
      <c r="N118" s="1">
        <v>2.5499999999999998</v>
      </c>
      <c r="O118" s="1">
        <v>15311</v>
      </c>
      <c r="P118" s="1" t="s">
        <v>10</v>
      </c>
      <c r="Q118" s="1"/>
    </row>
    <row r="119" spans="7:17" x14ac:dyDescent="0.25">
      <c r="G119" s="1" t="str">
        <f>TEXT(Table1[[#This Row],[InvoiceDate]],"H AM/PM")</f>
        <v>9 AM</v>
      </c>
      <c r="H119" s="1">
        <f t="shared" si="1"/>
        <v>16.5</v>
      </c>
      <c r="I119" s="1">
        <v>536381</v>
      </c>
      <c r="J119" s="1">
        <v>21934</v>
      </c>
      <c r="K119" s="1" t="s">
        <v>111</v>
      </c>
      <c r="L119" s="1">
        <v>10</v>
      </c>
      <c r="M119" s="2">
        <v>40513.40347222222</v>
      </c>
      <c r="N119" s="1">
        <v>1.65</v>
      </c>
      <c r="O119" s="1">
        <v>15311</v>
      </c>
      <c r="P119" s="1" t="s">
        <v>10</v>
      </c>
      <c r="Q119" s="1"/>
    </row>
    <row r="120" spans="7:17" x14ac:dyDescent="0.25">
      <c r="G120" s="1" t="str">
        <f>TEXT(Table1[[#This Row],[InvoiceDate]],"H AM/PM")</f>
        <v>9 AM</v>
      </c>
      <c r="H120" s="1">
        <f t="shared" si="1"/>
        <v>5.07</v>
      </c>
      <c r="I120" s="1">
        <v>536381</v>
      </c>
      <c r="J120" s="1">
        <v>21169</v>
      </c>
      <c r="K120" s="1" t="s">
        <v>112</v>
      </c>
      <c r="L120" s="1">
        <v>3</v>
      </c>
      <c r="M120" s="2">
        <v>40513.40347222222</v>
      </c>
      <c r="N120" s="1">
        <v>1.69</v>
      </c>
      <c r="O120" s="1">
        <v>15311</v>
      </c>
      <c r="P120" s="1" t="s">
        <v>10</v>
      </c>
      <c r="Q120" s="1"/>
    </row>
    <row r="121" spans="7:17" x14ac:dyDescent="0.25">
      <c r="G121" s="1" t="str">
        <f>TEXT(Table1[[#This Row],[InvoiceDate]],"H AM/PM")</f>
        <v>9 AM</v>
      </c>
      <c r="H121" s="1">
        <f t="shared" si="1"/>
        <v>1.95</v>
      </c>
      <c r="I121" s="1">
        <v>536381</v>
      </c>
      <c r="J121" s="1">
        <v>21166</v>
      </c>
      <c r="K121" s="1" t="s">
        <v>113</v>
      </c>
      <c r="L121" s="1">
        <v>1</v>
      </c>
      <c r="M121" s="2">
        <v>40513.40347222222</v>
      </c>
      <c r="N121" s="1">
        <v>1.95</v>
      </c>
      <c r="O121" s="1">
        <v>15311</v>
      </c>
      <c r="P121" s="1" t="s">
        <v>10</v>
      </c>
      <c r="Q121" s="1"/>
    </row>
    <row r="122" spans="7:17" x14ac:dyDescent="0.25">
      <c r="G122" s="1" t="str">
        <f>TEXT(Table1[[#This Row],[InvoiceDate]],"H AM/PM")</f>
        <v>9 AM</v>
      </c>
      <c r="H122" s="1">
        <f t="shared" si="1"/>
        <v>4.2</v>
      </c>
      <c r="I122" s="1">
        <v>536381</v>
      </c>
      <c r="J122" s="1">
        <v>21175</v>
      </c>
      <c r="K122" s="1" t="s">
        <v>114</v>
      </c>
      <c r="L122" s="1">
        <v>2</v>
      </c>
      <c r="M122" s="2">
        <v>40513.40347222222</v>
      </c>
      <c r="N122" s="1">
        <v>2.1</v>
      </c>
      <c r="O122" s="1">
        <v>15311</v>
      </c>
      <c r="P122" s="1" t="s">
        <v>10</v>
      </c>
      <c r="Q122" s="1"/>
    </row>
    <row r="123" spans="7:17" x14ac:dyDescent="0.25">
      <c r="G123" s="1" t="str">
        <f>TEXT(Table1[[#This Row],[InvoiceDate]],"H AM/PM")</f>
        <v>9 AM</v>
      </c>
      <c r="H123" s="1">
        <f t="shared" si="1"/>
        <v>2.95</v>
      </c>
      <c r="I123" s="1">
        <v>536381</v>
      </c>
      <c r="J123" s="1" t="s">
        <v>115</v>
      </c>
      <c r="K123" s="1" t="s">
        <v>116</v>
      </c>
      <c r="L123" s="1">
        <v>1</v>
      </c>
      <c r="M123" s="2">
        <v>40513.40347222222</v>
      </c>
      <c r="N123" s="1">
        <v>2.95</v>
      </c>
      <c r="O123" s="1">
        <v>15311</v>
      </c>
      <c r="P123" s="1" t="s">
        <v>10</v>
      </c>
      <c r="Q123" s="1"/>
    </row>
    <row r="124" spans="7:17" x14ac:dyDescent="0.25">
      <c r="G124" s="1" t="str">
        <f>TEXT(Table1[[#This Row],[InvoiceDate]],"H AM/PM")</f>
        <v>9 AM</v>
      </c>
      <c r="H124" s="1">
        <f t="shared" si="1"/>
        <v>2.95</v>
      </c>
      <c r="I124" s="1">
        <v>536381</v>
      </c>
      <c r="J124" s="1" t="s">
        <v>117</v>
      </c>
      <c r="K124" s="1" t="s">
        <v>118</v>
      </c>
      <c r="L124" s="1">
        <v>1</v>
      </c>
      <c r="M124" s="2">
        <v>40513.40347222222</v>
      </c>
      <c r="N124" s="1">
        <v>2.95</v>
      </c>
      <c r="O124" s="1">
        <v>15311</v>
      </c>
      <c r="P124" s="1" t="s">
        <v>10</v>
      </c>
      <c r="Q124" s="1"/>
    </row>
    <row r="125" spans="7:17" x14ac:dyDescent="0.25">
      <c r="G125" s="1" t="str">
        <f>TEXT(Table1[[#This Row],[InvoiceDate]],"H AM/PM")</f>
        <v>9 AM</v>
      </c>
      <c r="H125" s="1">
        <f t="shared" si="1"/>
        <v>11.8</v>
      </c>
      <c r="I125" s="1">
        <v>536381</v>
      </c>
      <c r="J125" s="1">
        <v>22086</v>
      </c>
      <c r="K125" s="1" t="s">
        <v>61</v>
      </c>
      <c r="L125" s="1">
        <v>4</v>
      </c>
      <c r="M125" s="2">
        <v>40513.40347222222</v>
      </c>
      <c r="N125" s="1">
        <v>2.95</v>
      </c>
      <c r="O125" s="1">
        <v>15311</v>
      </c>
      <c r="P125" s="1" t="s">
        <v>10</v>
      </c>
      <c r="Q125" s="1"/>
    </row>
    <row r="126" spans="7:17" x14ac:dyDescent="0.25">
      <c r="G126" s="1" t="str">
        <f>TEXT(Table1[[#This Row],[InvoiceDate]],"H AM/PM")</f>
        <v>9 AM</v>
      </c>
      <c r="H126" s="1">
        <f t="shared" si="1"/>
        <v>2.95</v>
      </c>
      <c r="I126" s="1">
        <v>536381</v>
      </c>
      <c r="J126" s="1">
        <v>22083</v>
      </c>
      <c r="K126" s="1" t="s">
        <v>119</v>
      </c>
      <c r="L126" s="1">
        <v>1</v>
      </c>
      <c r="M126" s="2">
        <v>40513.40347222222</v>
      </c>
      <c r="N126" s="1">
        <v>2.95</v>
      </c>
      <c r="O126" s="1">
        <v>15311</v>
      </c>
      <c r="P126" s="1" t="s">
        <v>10</v>
      </c>
      <c r="Q126" s="1"/>
    </row>
    <row r="127" spans="7:17" x14ac:dyDescent="0.25">
      <c r="G127" s="1" t="str">
        <f>TEXT(Table1[[#This Row],[InvoiceDate]],"H AM/PM")</f>
        <v>9 AM</v>
      </c>
      <c r="H127" s="1">
        <f t="shared" si="1"/>
        <v>5.0999999999999996</v>
      </c>
      <c r="I127" s="1">
        <v>536381</v>
      </c>
      <c r="J127" s="1" t="s">
        <v>120</v>
      </c>
      <c r="K127" s="1" t="s">
        <v>121</v>
      </c>
      <c r="L127" s="1">
        <v>6</v>
      </c>
      <c r="M127" s="2">
        <v>40513.40347222222</v>
      </c>
      <c r="N127" s="1">
        <v>0.85</v>
      </c>
      <c r="O127" s="1">
        <v>15311</v>
      </c>
      <c r="P127" s="1" t="s">
        <v>10</v>
      </c>
      <c r="Q127" s="1"/>
    </row>
    <row r="128" spans="7:17" x14ac:dyDescent="0.25">
      <c r="G128" s="1" t="str">
        <f>TEXT(Table1[[#This Row],[InvoiceDate]],"H AM/PM")</f>
        <v>9 AM</v>
      </c>
      <c r="H128" s="1">
        <f t="shared" si="1"/>
        <v>3.75</v>
      </c>
      <c r="I128" s="1">
        <v>536381</v>
      </c>
      <c r="J128" s="1">
        <v>71270</v>
      </c>
      <c r="K128" s="1" t="s">
        <v>108</v>
      </c>
      <c r="L128" s="1">
        <v>3</v>
      </c>
      <c r="M128" s="2">
        <v>40513.40347222222</v>
      </c>
      <c r="N128" s="1">
        <v>1.25</v>
      </c>
      <c r="O128" s="1">
        <v>15311</v>
      </c>
      <c r="P128" s="1" t="s">
        <v>10</v>
      </c>
      <c r="Q128" s="1"/>
    </row>
    <row r="129" spans="7:17" x14ac:dyDescent="0.25">
      <c r="G129" s="1" t="str">
        <f>TEXT(Table1[[#This Row],[InvoiceDate]],"H AM/PM")</f>
        <v>9 AM</v>
      </c>
      <c r="H129" s="1">
        <f t="shared" si="1"/>
        <v>5.0999999999999996</v>
      </c>
      <c r="I129" s="1">
        <v>536381</v>
      </c>
      <c r="J129" s="1">
        <v>47580</v>
      </c>
      <c r="K129" s="1" t="s">
        <v>122</v>
      </c>
      <c r="L129" s="1">
        <v>2</v>
      </c>
      <c r="M129" s="2">
        <v>40513.40347222222</v>
      </c>
      <c r="N129" s="1">
        <v>2.5499999999999998</v>
      </c>
      <c r="O129" s="1">
        <v>15311</v>
      </c>
      <c r="P129" s="1" t="s">
        <v>10</v>
      </c>
      <c r="Q129" s="1"/>
    </row>
    <row r="130" spans="7:17" x14ac:dyDescent="0.25">
      <c r="G130" s="1" t="str">
        <f>TEXT(Table1[[#This Row],[InvoiceDate]],"H AM/PM")</f>
        <v>9 AM</v>
      </c>
      <c r="H130" s="1">
        <f t="shared" si="1"/>
        <v>0.85</v>
      </c>
      <c r="I130" s="1">
        <v>536381</v>
      </c>
      <c r="J130" s="1">
        <v>22261</v>
      </c>
      <c r="K130" s="1" t="s">
        <v>123</v>
      </c>
      <c r="L130" s="1">
        <v>1</v>
      </c>
      <c r="M130" s="2">
        <v>40513.40347222222</v>
      </c>
      <c r="N130" s="1">
        <v>0.85</v>
      </c>
      <c r="O130" s="1">
        <v>15311</v>
      </c>
      <c r="P130" s="1" t="s">
        <v>10</v>
      </c>
      <c r="Q130" s="1"/>
    </row>
    <row r="131" spans="7:17" x14ac:dyDescent="0.25">
      <c r="G131" s="1" t="str">
        <f>TEXT(Table1[[#This Row],[InvoiceDate]],"H AM/PM")</f>
        <v>9 AM</v>
      </c>
      <c r="H131" s="1">
        <f t="shared" ref="H131:H194" si="2">N131*L131</f>
        <v>0.85</v>
      </c>
      <c r="I131" s="1">
        <v>536381</v>
      </c>
      <c r="J131" s="1">
        <v>84832</v>
      </c>
      <c r="K131" s="1" t="s">
        <v>124</v>
      </c>
      <c r="L131" s="1">
        <v>1</v>
      </c>
      <c r="M131" s="2">
        <v>40513.40347222222</v>
      </c>
      <c r="N131" s="1">
        <v>0.85</v>
      </c>
      <c r="O131" s="1">
        <v>15311</v>
      </c>
      <c r="P131" s="1" t="s">
        <v>10</v>
      </c>
      <c r="Q131" s="1"/>
    </row>
    <row r="132" spans="7:17" x14ac:dyDescent="0.25">
      <c r="G132" s="1" t="str">
        <f>TEXT(Table1[[#This Row],[InvoiceDate]],"H AM/PM")</f>
        <v>9 AM</v>
      </c>
      <c r="H132" s="1">
        <f t="shared" si="2"/>
        <v>1.45</v>
      </c>
      <c r="I132" s="1">
        <v>536381</v>
      </c>
      <c r="J132" s="1">
        <v>22644</v>
      </c>
      <c r="K132" s="1" t="s">
        <v>125</v>
      </c>
      <c r="L132" s="1">
        <v>1</v>
      </c>
      <c r="M132" s="2">
        <v>40513.40347222222</v>
      </c>
      <c r="N132" s="1">
        <v>1.45</v>
      </c>
      <c r="O132" s="1">
        <v>15311</v>
      </c>
      <c r="P132" s="1" t="s">
        <v>10</v>
      </c>
      <c r="Q132" s="1"/>
    </row>
    <row r="133" spans="7:17" x14ac:dyDescent="0.25">
      <c r="G133" s="1" t="str">
        <f>TEXT(Table1[[#This Row],[InvoiceDate]],"H AM/PM")</f>
        <v>9 AM</v>
      </c>
      <c r="H133" s="1">
        <f t="shared" si="2"/>
        <v>4.95</v>
      </c>
      <c r="I133" s="1">
        <v>536381</v>
      </c>
      <c r="J133" s="1">
        <v>21533</v>
      </c>
      <c r="K133" s="1" t="s">
        <v>126</v>
      </c>
      <c r="L133" s="1">
        <v>1</v>
      </c>
      <c r="M133" s="2">
        <v>40513.40347222222</v>
      </c>
      <c r="N133" s="1">
        <v>4.95</v>
      </c>
      <c r="O133" s="1">
        <v>15311</v>
      </c>
      <c r="P133" s="1" t="s">
        <v>10</v>
      </c>
      <c r="Q133" s="1"/>
    </row>
    <row r="134" spans="7:17" x14ac:dyDescent="0.25">
      <c r="G134" s="1" t="str">
        <f>TEXT(Table1[[#This Row],[InvoiceDate]],"H AM/PM")</f>
        <v>9 AM</v>
      </c>
      <c r="H134" s="1">
        <f t="shared" si="2"/>
        <v>5.9</v>
      </c>
      <c r="I134" s="1">
        <v>536381</v>
      </c>
      <c r="J134" s="1">
        <v>21557</v>
      </c>
      <c r="K134" s="1" t="s">
        <v>127</v>
      </c>
      <c r="L134" s="1">
        <v>2</v>
      </c>
      <c r="M134" s="2">
        <v>40513.40347222222</v>
      </c>
      <c r="N134" s="1">
        <v>2.95</v>
      </c>
      <c r="O134" s="1">
        <v>15311</v>
      </c>
      <c r="P134" s="1" t="s">
        <v>10</v>
      </c>
      <c r="Q134" s="1"/>
    </row>
    <row r="135" spans="7:17" x14ac:dyDescent="0.25">
      <c r="G135" s="1" t="str">
        <f>TEXT(Table1[[#This Row],[InvoiceDate]],"H AM/PM")</f>
        <v>9 AM</v>
      </c>
      <c r="H135" s="1">
        <f t="shared" si="2"/>
        <v>11.9</v>
      </c>
      <c r="I135" s="1">
        <v>536381</v>
      </c>
      <c r="J135" s="1" t="s">
        <v>128</v>
      </c>
      <c r="K135" s="1" t="s">
        <v>129</v>
      </c>
      <c r="L135" s="1">
        <v>2</v>
      </c>
      <c r="M135" s="2">
        <v>40513.40347222222</v>
      </c>
      <c r="N135" s="1">
        <v>5.95</v>
      </c>
      <c r="O135" s="1">
        <v>15311</v>
      </c>
      <c r="P135" s="1" t="s">
        <v>10</v>
      </c>
      <c r="Q135" s="1"/>
    </row>
    <row r="136" spans="7:17" x14ac:dyDescent="0.25">
      <c r="G136" s="1" t="str">
        <f>TEXT(Table1[[#This Row],[InvoiceDate]],"H AM/PM")</f>
        <v>9 AM</v>
      </c>
      <c r="H136" s="1">
        <f t="shared" si="2"/>
        <v>11.9</v>
      </c>
      <c r="I136" s="1">
        <v>536381</v>
      </c>
      <c r="J136" s="1" t="s">
        <v>130</v>
      </c>
      <c r="K136" s="1" t="s">
        <v>131</v>
      </c>
      <c r="L136" s="1">
        <v>2</v>
      </c>
      <c r="M136" s="2">
        <v>40513.40347222222</v>
      </c>
      <c r="N136" s="1">
        <v>5.95</v>
      </c>
      <c r="O136" s="1">
        <v>15311</v>
      </c>
      <c r="P136" s="1" t="s">
        <v>10</v>
      </c>
      <c r="Q136" s="1"/>
    </row>
    <row r="137" spans="7:17" x14ac:dyDescent="0.25">
      <c r="G137" s="1" t="str">
        <f>TEXT(Table1[[#This Row],[InvoiceDate]],"H AM/PM")</f>
        <v>9 AM</v>
      </c>
      <c r="H137" s="1">
        <f t="shared" si="2"/>
        <v>5.8</v>
      </c>
      <c r="I137" s="1">
        <v>536381</v>
      </c>
      <c r="J137" s="1">
        <v>22646</v>
      </c>
      <c r="K137" s="1" t="s">
        <v>132</v>
      </c>
      <c r="L137" s="1">
        <v>4</v>
      </c>
      <c r="M137" s="2">
        <v>40513.40347222222</v>
      </c>
      <c r="N137" s="1">
        <v>1.45</v>
      </c>
      <c r="O137" s="1">
        <v>15311</v>
      </c>
      <c r="P137" s="1" t="s">
        <v>10</v>
      </c>
      <c r="Q137" s="1"/>
    </row>
    <row r="138" spans="7:17" x14ac:dyDescent="0.25">
      <c r="G138" s="1" t="str">
        <f>TEXT(Table1[[#This Row],[InvoiceDate]],"H AM/PM")</f>
        <v>9 AM</v>
      </c>
      <c r="H138" s="1">
        <f t="shared" si="2"/>
        <v>2.95</v>
      </c>
      <c r="I138" s="1">
        <v>536381</v>
      </c>
      <c r="J138" s="1">
        <v>22176</v>
      </c>
      <c r="K138" s="1" t="s">
        <v>133</v>
      </c>
      <c r="L138" s="1">
        <v>1</v>
      </c>
      <c r="M138" s="2">
        <v>40513.40347222222</v>
      </c>
      <c r="N138" s="1">
        <v>2.95</v>
      </c>
      <c r="O138" s="1">
        <v>15311</v>
      </c>
      <c r="P138" s="1" t="s">
        <v>10</v>
      </c>
      <c r="Q138" s="1"/>
    </row>
    <row r="139" spans="7:17" x14ac:dyDescent="0.25">
      <c r="G139" s="1" t="str">
        <f>TEXT(Table1[[#This Row],[InvoiceDate]],"H AM/PM")</f>
        <v>9 AM</v>
      </c>
      <c r="H139" s="1">
        <f t="shared" si="2"/>
        <v>1.95</v>
      </c>
      <c r="I139" s="1">
        <v>536381</v>
      </c>
      <c r="J139" s="1">
        <v>22438</v>
      </c>
      <c r="K139" s="1" t="s">
        <v>134</v>
      </c>
      <c r="L139" s="1">
        <v>1</v>
      </c>
      <c r="M139" s="2">
        <v>40513.40347222222</v>
      </c>
      <c r="N139" s="1">
        <v>1.95</v>
      </c>
      <c r="O139" s="1">
        <v>15311</v>
      </c>
      <c r="P139" s="1" t="s">
        <v>10</v>
      </c>
      <c r="Q139" s="1"/>
    </row>
    <row r="140" spans="7:17" x14ac:dyDescent="0.25">
      <c r="G140" s="1" t="str">
        <f>TEXT(Table1[[#This Row],[InvoiceDate]],"H AM/PM")</f>
        <v>9 AM</v>
      </c>
      <c r="H140" s="1">
        <f t="shared" si="2"/>
        <v>3.3</v>
      </c>
      <c r="I140" s="1">
        <v>536381</v>
      </c>
      <c r="J140" s="1">
        <v>21731</v>
      </c>
      <c r="K140" s="1" t="s">
        <v>53</v>
      </c>
      <c r="L140" s="1">
        <v>2</v>
      </c>
      <c r="M140" s="2">
        <v>40513.40347222222</v>
      </c>
      <c r="N140" s="1">
        <v>1.65</v>
      </c>
      <c r="O140" s="1">
        <v>15311</v>
      </c>
      <c r="P140" s="1" t="s">
        <v>10</v>
      </c>
      <c r="Q140" s="1"/>
    </row>
    <row r="141" spans="7:17" x14ac:dyDescent="0.25">
      <c r="G141" s="1" t="str">
        <f>TEXT(Table1[[#This Row],[InvoiceDate]],"H AM/PM")</f>
        <v>9 AM</v>
      </c>
      <c r="H141" s="1">
        <f t="shared" si="2"/>
        <v>11.850000000000001</v>
      </c>
      <c r="I141" s="1">
        <v>536381</v>
      </c>
      <c r="J141" s="1">
        <v>22778</v>
      </c>
      <c r="K141" s="1" t="s">
        <v>135</v>
      </c>
      <c r="L141" s="1">
        <v>3</v>
      </c>
      <c r="M141" s="2">
        <v>40513.40347222222</v>
      </c>
      <c r="N141" s="1">
        <v>3.95</v>
      </c>
      <c r="O141" s="1">
        <v>15311</v>
      </c>
      <c r="P141" s="1" t="s">
        <v>10</v>
      </c>
      <c r="Q141" s="1"/>
    </row>
    <row r="142" spans="7:17" x14ac:dyDescent="0.25">
      <c r="G142" s="1" t="str">
        <f>TEXT(Table1[[#This Row],[InvoiceDate]],"H AM/PM")</f>
        <v>9 AM</v>
      </c>
      <c r="H142" s="1">
        <f t="shared" si="2"/>
        <v>38.160000000000004</v>
      </c>
      <c r="I142" s="1">
        <v>536381</v>
      </c>
      <c r="J142" s="1">
        <v>22719</v>
      </c>
      <c r="K142" s="1" t="s">
        <v>136</v>
      </c>
      <c r="L142" s="1">
        <v>36</v>
      </c>
      <c r="M142" s="2">
        <v>40513.40347222222</v>
      </c>
      <c r="N142" s="1">
        <v>1.06</v>
      </c>
      <c r="O142" s="1">
        <v>15311</v>
      </c>
      <c r="P142" s="1" t="s">
        <v>10</v>
      </c>
      <c r="Q142" s="1"/>
    </row>
    <row r="143" spans="7:17" x14ac:dyDescent="0.25">
      <c r="G143" s="1" t="str">
        <f>TEXT(Table1[[#This Row],[InvoiceDate]],"H AM/PM")</f>
        <v>9 AM</v>
      </c>
      <c r="H143" s="1">
        <f t="shared" si="2"/>
        <v>67.5</v>
      </c>
      <c r="I143" s="1">
        <v>536381</v>
      </c>
      <c r="J143" s="1">
        <v>21523</v>
      </c>
      <c r="K143" s="1" t="s">
        <v>137</v>
      </c>
      <c r="L143" s="1">
        <v>10</v>
      </c>
      <c r="M143" s="2">
        <v>40513.40347222222</v>
      </c>
      <c r="N143" s="1">
        <v>6.75</v>
      </c>
      <c r="O143" s="1">
        <v>15311</v>
      </c>
      <c r="P143" s="1" t="s">
        <v>10</v>
      </c>
      <c r="Q143" s="1"/>
    </row>
    <row r="144" spans="7:17" x14ac:dyDescent="0.25">
      <c r="G144" s="1" t="str">
        <f>TEXT(Table1[[#This Row],[InvoiceDate]],"H AM/PM")</f>
        <v>9 AM</v>
      </c>
      <c r="H144" s="1">
        <f t="shared" si="2"/>
        <v>-27.5</v>
      </c>
      <c r="I144" s="1" t="s">
        <v>138</v>
      </c>
      <c r="J144" s="1" t="s">
        <v>139</v>
      </c>
      <c r="K144" s="1" t="s">
        <v>140</v>
      </c>
      <c r="L144" s="1">
        <v>-1</v>
      </c>
      <c r="M144" s="2">
        <v>40513.40347222222</v>
      </c>
      <c r="N144" s="1">
        <v>27.5</v>
      </c>
      <c r="O144" s="1">
        <v>14527</v>
      </c>
      <c r="P144" s="1" t="s">
        <v>10</v>
      </c>
      <c r="Q144" s="1"/>
    </row>
    <row r="145" spans="7:17" x14ac:dyDescent="0.25">
      <c r="G145" s="1" t="str">
        <f>TEXT(Table1[[#This Row],[InvoiceDate]],"H AM/PM")</f>
        <v>9 AM</v>
      </c>
      <c r="H145" s="1">
        <f t="shared" si="2"/>
        <v>10.199999999999999</v>
      </c>
      <c r="I145" s="1">
        <v>536382</v>
      </c>
      <c r="J145" s="1">
        <v>10002</v>
      </c>
      <c r="K145" s="1" t="s">
        <v>45</v>
      </c>
      <c r="L145" s="1">
        <v>12</v>
      </c>
      <c r="M145" s="2">
        <v>40513.40625</v>
      </c>
      <c r="N145" s="1">
        <v>0.85</v>
      </c>
      <c r="O145" s="1">
        <v>16098</v>
      </c>
      <c r="P145" s="1" t="s">
        <v>10</v>
      </c>
      <c r="Q145" s="1"/>
    </row>
    <row r="146" spans="7:17" x14ac:dyDescent="0.25">
      <c r="G146" s="1" t="str">
        <f>TEXT(Table1[[#This Row],[InvoiceDate]],"H AM/PM")</f>
        <v>9 AM</v>
      </c>
      <c r="H146" s="1">
        <f t="shared" si="2"/>
        <v>30</v>
      </c>
      <c r="I146" s="1">
        <v>536382</v>
      </c>
      <c r="J146" s="1">
        <v>21912</v>
      </c>
      <c r="K146" s="1" t="s">
        <v>141</v>
      </c>
      <c r="L146" s="1">
        <v>8</v>
      </c>
      <c r="M146" s="2">
        <v>40513.40625</v>
      </c>
      <c r="N146" s="1">
        <v>3.75</v>
      </c>
      <c r="O146" s="1">
        <v>16098</v>
      </c>
      <c r="P146" s="1" t="s">
        <v>10</v>
      </c>
      <c r="Q146" s="1"/>
    </row>
    <row r="147" spans="7:17" x14ac:dyDescent="0.25">
      <c r="G147" s="1" t="str">
        <f>TEXT(Table1[[#This Row],[InvoiceDate]],"H AM/PM")</f>
        <v>9 AM</v>
      </c>
      <c r="H147" s="1">
        <f t="shared" si="2"/>
        <v>19.799999999999997</v>
      </c>
      <c r="I147" s="1">
        <v>536382</v>
      </c>
      <c r="J147" s="1">
        <v>21832</v>
      </c>
      <c r="K147" s="1" t="s">
        <v>142</v>
      </c>
      <c r="L147" s="1">
        <v>12</v>
      </c>
      <c r="M147" s="2">
        <v>40513.40625</v>
      </c>
      <c r="N147" s="1">
        <v>1.65</v>
      </c>
      <c r="O147" s="1">
        <v>16098</v>
      </c>
      <c r="P147" s="1" t="s">
        <v>10</v>
      </c>
      <c r="Q147" s="1"/>
    </row>
    <row r="148" spans="7:17" x14ac:dyDescent="0.25">
      <c r="G148" s="1" t="str">
        <f>TEXT(Table1[[#This Row],[InvoiceDate]],"H AM/PM")</f>
        <v>9 AM</v>
      </c>
      <c r="H148" s="1">
        <f t="shared" si="2"/>
        <v>19.5</v>
      </c>
      <c r="I148" s="1">
        <v>536382</v>
      </c>
      <c r="J148" s="1">
        <v>22411</v>
      </c>
      <c r="K148" s="1" t="s">
        <v>103</v>
      </c>
      <c r="L148" s="1">
        <v>10</v>
      </c>
      <c r="M148" s="2">
        <v>40513.40625</v>
      </c>
      <c r="N148" s="1">
        <v>1.95</v>
      </c>
      <c r="O148" s="1">
        <v>16098</v>
      </c>
      <c r="P148" s="1" t="s">
        <v>10</v>
      </c>
      <c r="Q148" s="1"/>
    </row>
    <row r="149" spans="7:17" x14ac:dyDescent="0.25">
      <c r="G149" s="1" t="str">
        <f>TEXT(Table1[[#This Row],[InvoiceDate]],"H AM/PM")</f>
        <v>9 AM</v>
      </c>
      <c r="H149" s="1">
        <f t="shared" si="2"/>
        <v>21</v>
      </c>
      <c r="I149" s="1">
        <v>536382</v>
      </c>
      <c r="J149" s="1">
        <v>22379</v>
      </c>
      <c r="K149" s="1" t="s">
        <v>143</v>
      </c>
      <c r="L149" s="1">
        <v>10</v>
      </c>
      <c r="M149" s="2">
        <v>40513.40625</v>
      </c>
      <c r="N149" s="1">
        <v>2.1</v>
      </c>
      <c r="O149" s="1">
        <v>16098</v>
      </c>
      <c r="P149" s="1" t="s">
        <v>10</v>
      </c>
      <c r="Q149" s="1"/>
    </row>
    <row r="150" spans="7:17" x14ac:dyDescent="0.25">
      <c r="G150" s="1" t="str">
        <f>TEXT(Table1[[#This Row],[InvoiceDate]],"H AM/PM")</f>
        <v>9 AM</v>
      </c>
      <c r="H150" s="1">
        <f t="shared" si="2"/>
        <v>92.5</v>
      </c>
      <c r="I150" s="1">
        <v>536382</v>
      </c>
      <c r="J150" s="1">
        <v>22381</v>
      </c>
      <c r="K150" s="1" t="s">
        <v>144</v>
      </c>
      <c r="L150" s="1">
        <v>50</v>
      </c>
      <c r="M150" s="2">
        <v>40513.40625</v>
      </c>
      <c r="N150" s="1">
        <v>1.85</v>
      </c>
      <c r="O150" s="1">
        <v>16098</v>
      </c>
      <c r="P150" s="1" t="s">
        <v>10</v>
      </c>
      <c r="Q150" s="1"/>
    </row>
    <row r="151" spans="7:17" x14ac:dyDescent="0.25">
      <c r="G151" s="1" t="str">
        <f>TEXT(Table1[[#This Row],[InvoiceDate]],"H AM/PM")</f>
        <v>9 AM</v>
      </c>
      <c r="H151" s="1">
        <f t="shared" si="2"/>
        <v>23.6</v>
      </c>
      <c r="I151" s="1">
        <v>536382</v>
      </c>
      <c r="J151" s="1">
        <v>22798</v>
      </c>
      <c r="K151" s="1" t="s">
        <v>145</v>
      </c>
      <c r="L151" s="1">
        <v>8</v>
      </c>
      <c r="M151" s="2">
        <v>40513.40625</v>
      </c>
      <c r="N151" s="1">
        <v>2.95</v>
      </c>
      <c r="O151" s="1">
        <v>16098</v>
      </c>
      <c r="P151" s="1" t="s">
        <v>10</v>
      </c>
      <c r="Q151" s="1"/>
    </row>
    <row r="152" spans="7:17" x14ac:dyDescent="0.25">
      <c r="G152" s="1" t="str">
        <f>TEXT(Table1[[#This Row],[InvoiceDate]],"H AM/PM")</f>
        <v>9 AM</v>
      </c>
      <c r="H152" s="1">
        <f t="shared" si="2"/>
        <v>15</v>
      </c>
      <c r="I152" s="1">
        <v>536382</v>
      </c>
      <c r="J152" s="1">
        <v>22726</v>
      </c>
      <c r="K152" s="1" t="s">
        <v>42</v>
      </c>
      <c r="L152" s="1">
        <v>4</v>
      </c>
      <c r="M152" s="2">
        <v>40513.40625</v>
      </c>
      <c r="N152" s="1">
        <v>3.75</v>
      </c>
      <c r="O152" s="1">
        <v>16098</v>
      </c>
      <c r="P152" s="1" t="s">
        <v>10</v>
      </c>
      <c r="Q152" s="1"/>
    </row>
    <row r="153" spans="7:17" x14ac:dyDescent="0.25">
      <c r="G153" s="1" t="str">
        <f>TEXT(Table1[[#This Row],[InvoiceDate]],"H AM/PM")</f>
        <v>9 AM</v>
      </c>
      <c r="H153" s="1">
        <f t="shared" si="2"/>
        <v>71.400000000000006</v>
      </c>
      <c r="I153" s="1">
        <v>536382</v>
      </c>
      <c r="J153" s="1">
        <v>22926</v>
      </c>
      <c r="K153" s="1" t="s">
        <v>146</v>
      </c>
      <c r="L153" s="1">
        <v>12</v>
      </c>
      <c r="M153" s="2">
        <v>40513.40625</v>
      </c>
      <c r="N153" s="1">
        <v>5.95</v>
      </c>
      <c r="O153" s="1">
        <v>16098</v>
      </c>
      <c r="P153" s="1" t="s">
        <v>10</v>
      </c>
      <c r="Q153" s="1"/>
    </row>
    <row r="154" spans="7:17" x14ac:dyDescent="0.25">
      <c r="G154" s="1" t="str">
        <f>TEXT(Table1[[#This Row],[InvoiceDate]],"H AM/PM")</f>
        <v>9 AM</v>
      </c>
      <c r="H154" s="1">
        <f t="shared" si="2"/>
        <v>29.9</v>
      </c>
      <c r="I154" s="1">
        <v>536382</v>
      </c>
      <c r="J154" s="1">
        <v>22839</v>
      </c>
      <c r="K154" s="1" t="s">
        <v>147</v>
      </c>
      <c r="L154" s="1">
        <v>2</v>
      </c>
      <c r="M154" s="2">
        <v>40513.40625</v>
      </c>
      <c r="N154" s="1">
        <v>14.95</v>
      </c>
      <c r="O154" s="1">
        <v>16098</v>
      </c>
      <c r="P154" s="1" t="s">
        <v>10</v>
      </c>
      <c r="Q154" s="1"/>
    </row>
    <row r="155" spans="7:17" x14ac:dyDescent="0.25">
      <c r="G155" s="1" t="str">
        <f>TEXT(Table1[[#This Row],[InvoiceDate]],"H AM/PM")</f>
        <v>9 AM</v>
      </c>
      <c r="H155" s="1">
        <f t="shared" si="2"/>
        <v>29.9</v>
      </c>
      <c r="I155" s="1">
        <v>536382</v>
      </c>
      <c r="J155" s="1">
        <v>22838</v>
      </c>
      <c r="K155" s="1" t="s">
        <v>148</v>
      </c>
      <c r="L155" s="1">
        <v>2</v>
      </c>
      <c r="M155" s="2">
        <v>40513.40625</v>
      </c>
      <c r="N155" s="1">
        <v>14.95</v>
      </c>
      <c r="O155" s="1">
        <v>16098</v>
      </c>
      <c r="P155" s="1" t="s">
        <v>10</v>
      </c>
      <c r="Q155" s="1"/>
    </row>
    <row r="156" spans="7:17" x14ac:dyDescent="0.25">
      <c r="G156" s="1" t="str">
        <f>TEXT(Table1[[#This Row],[InvoiceDate]],"H AM/PM")</f>
        <v>9 AM</v>
      </c>
      <c r="H156" s="1">
        <f t="shared" si="2"/>
        <v>67.8</v>
      </c>
      <c r="I156" s="1">
        <v>536382</v>
      </c>
      <c r="J156" s="1">
        <v>22783</v>
      </c>
      <c r="K156" s="1" t="s">
        <v>149</v>
      </c>
      <c r="L156" s="1">
        <v>4</v>
      </c>
      <c r="M156" s="2">
        <v>40513.40625</v>
      </c>
      <c r="N156" s="1">
        <v>16.95</v>
      </c>
      <c r="O156" s="1">
        <v>16098</v>
      </c>
      <c r="P156" s="1" t="s">
        <v>10</v>
      </c>
      <c r="Q156" s="1"/>
    </row>
    <row r="157" spans="7:17" x14ac:dyDescent="0.25">
      <c r="G157" s="1" t="str">
        <f>TEXT(Table1[[#This Row],[InvoiceDate]],"H AM/PM")</f>
        <v>9 AM</v>
      </c>
      <c r="H157" s="1">
        <f t="shared" si="2"/>
        <v>-4.6500000000000004</v>
      </c>
      <c r="I157" s="1" t="s">
        <v>150</v>
      </c>
      <c r="J157" s="1" t="s">
        <v>151</v>
      </c>
      <c r="K157" s="1" t="s">
        <v>152</v>
      </c>
      <c r="L157" s="1">
        <v>-1</v>
      </c>
      <c r="M157" s="2">
        <v>40513.40902777778</v>
      </c>
      <c r="N157" s="1">
        <v>4.6500000000000004</v>
      </c>
      <c r="O157" s="1">
        <v>15311</v>
      </c>
      <c r="P157" s="1" t="s">
        <v>10</v>
      </c>
      <c r="Q157" s="1"/>
    </row>
    <row r="158" spans="7:17" x14ac:dyDescent="0.25">
      <c r="G158" s="1" t="str">
        <f>TEXT(Table1[[#This Row],[InvoiceDate]],"H AM/PM")</f>
        <v>9 AM</v>
      </c>
      <c r="H158" s="1">
        <f t="shared" si="2"/>
        <v>19.350000000000001</v>
      </c>
      <c r="I158" s="1">
        <v>536384</v>
      </c>
      <c r="J158" s="1">
        <v>82484</v>
      </c>
      <c r="K158" s="1" t="s">
        <v>153</v>
      </c>
      <c r="L158" s="1">
        <v>3</v>
      </c>
      <c r="M158" s="2">
        <v>40513.411805555559</v>
      </c>
      <c r="N158" s="1">
        <v>6.45</v>
      </c>
      <c r="O158" s="1">
        <v>18074</v>
      </c>
      <c r="P158" s="1" t="s">
        <v>10</v>
      </c>
      <c r="Q158" s="1"/>
    </row>
    <row r="159" spans="7:17" x14ac:dyDescent="0.25">
      <c r="G159" s="1" t="str">
        <f>TEXT(Table1[[#This Row],[InvoiceDate]],"H AM/PM")</f>
        <v>9 AM</v>
      </c>
      <c r="H159" s="1">
        <f t="shared" si="2"/>
        <v>31.200000000000003</v>
      </c>
      <c r="I159" s="1">
        <v>536384</v>
      </c>
      <c r="J159" s="1">
        <v>84755</v>
      </c>
      <c r="K159" s="1" t="s">
        <v>154</v>
      </c>
      <c r="L159" s="1">
        <v>48</v>
      </c>
      <c r="M159" s="2">
        <v>40513.411805555559</v>
      </c>
      <c r="N159" s="1">
        <v>0.65</v>
      </c>
      <c r="O159" s="1">
        <v>18074</v>
      </c>
      <c r="P159" s="1" t="s">
        <v>10</v>
      </c>
      <c r="Q159" s="1"/>
    </row>
    <row r="160" spans="7:17" x14ac:dyDescent="0.25">
      <c r="G160" s="1" t="str">
        <f>TEXT(Table1[[#This Row],[InvoiceDate]],"H AM/PM")</f>
        <v>9 AM</v>
      </c>
      <c r="H160" s="1">
        <f t="shared" si="2"/>
        <v>19.799999999999997</v>
      </c>
      <c r="I160" s="1">
        <v>536384</v>
      </c>
      <c r="J160" s="1">
        <v>22464</v>
      </c>
      <c r="K160" s="1" t="s">
        <v>155</v>
      </c>
      <c r="L160" s="1">
        <v>12</v>
      </c>
      <c r="M160" s="2">
        <v>40513.411805555559</v>
      </c>
      <c r="N160" s="1">
        <v>1.65</v>
      </c>
      <c r="O160" s="1">
        <v>18074</v>
      </c>
      <c r="P160" s="1" t="s">
        <v>10</v>
      </c>
      <c r="Q160" s="1"/>
    </row>
    <row r="161" spans="7:17" x14ac:dyDescent="0.25">
      <c r="G161" s="1" t="str">
        <f>TEXT(Table1[[#This Row],[InvoiceDate]],"H AM/PM")</f>
        <v>9 AM</v>
      </c>
      <c r="H161" s="1">
        <f t="shared" si="2"/>
        <v>17.700000000000003</v>
      </c>
      <c r="I161" s="1">
        <v>536384</v>
      </c>
      <c r="J161" s="1">
        <v>21324</v>
      </c>
      <c r="K161" s="1" t="s">
        <v>156</v>
      </c>
      <c r="L161" s="1">
        <v>6</v>
      </c>
      <c r="M161" s="2">
        <v>40513.411805555559</v>
      </c>
      <c r="N161" s="1">
        <v>2.95</v>
      </c>
      <c r="O161" s="1">
        <v>18074</v>
      </c>
      <c r="P161" s="1" t="s">
        <v>10</v>
      </c>
      <c r="Q161" s="1"/>
    </row>
    <row r="162" spans="7:17" x14ac:dyDescent="0.25">
      <c r="G162" s="1" t="str">
        <f>TEXT(Table1[[#This Row],[InvoiceDate]],"H AM/PM")</f>
        <v>9 AM</v>
      </c>
      <c r="H162" s="1">
        <f t="shared" si="2"/>
        <v>35.400000000000006</v>
      </c>
      <c r="I162" s="1">
        <v>536384</v>
      </c>
      <c r="J162" s="1">
        <v>22457</v>
      </c>
      <c r="K162" s="1" t="s">
        <v>157</v>
      </c>
      <c r="L162" s="1">
        <v>12</v>
      </c>
      <c r="M162" s="2">
        <v>40513.411805555559</v>
      </c>
      <c r="N162" s="1">
        <v>2.95</v>
      </c>
      <c r="O162" s="1">
        <v>18074</v>
      </c>
      <c r="P162" s="1" t="s">
        <v>10</v>
      </c>
      <c r="Q162" s="1"/>
    </row>
    <row r="163" spans="7:17" x14ac:dyDescent="0.25">
      <c r="G163" s="1" t="str">
        <f>TEXT(Table1[[#This Row],[InvoiceDate]],"H AM/PM")</f>
        <v>9 AM</v>
      </c>
      <c r="H163" s="1">
        <f t="shared" si="2"/>
        <v>58</v>
      </c>
      <c r="I163" s="1">
        <v>536384</v>
      </c>
      <c r="J163" s="1">
        <v>22469</v>
      </c>
      <c r="K163" s="1" t="s">
        <v>158</v>
      </c>
      <c r="L163" s="1">
        <v>40</v>
      </c>
      <c r="M163" s="2">
        <v>40513.411805555559</v>
      </c>
      <c r="N163" s="1">
        <v>1.45</v>
      </c>
      <c r="O163" s="1">
        <v>18074</v>
      </c>
      <c r="P163" s="1" t="s">
        <v>10</v>
      </c>
      <c r="Q163" s="1"/>
    </row>
    <row r="164" spans="7:17" x14ac:dyDescent="0.25">
      <c r="G164" s="1" t="str">
        <f>TEXT(Table1[[#This Row],[InvoiceDate]],"H AM/PM")</f>
        <v>9 AM</v>
      </c>
      <c r="H164" s="1">
        <f t="shared" si="2"/>
        <v>102</v>
      </c>
      <c r="I164" s="1">
        <v>536384</v>
      </c>
      <c r="J164" s="1">
        <v>22470</v>
      </c>
      <c r="K164" s="1" t="s">
        <v>159</v>
      </c>
      <c r="L164" s="1">
        <v>40</v>
      </c>
      <c r="M164" s="2">
        <v>40513.411805555559</v>
      </c>
      <c r="N164" s="1">
        <v>2.5499999999999998</v>
      </c>
      <c r="O164" s="1">
        <v>18074</v>
      </c>
      <c r="P164" s="1" t="s">
        <v>10</v>
      </c>
      <c r="Q164" s="1"/>
    </row>
    <row r="165" spans="7:17" x14ac:dyDescent="0.25">
      <c r="G165" s="1" t="str">
        <f>TEXT(Table1[[#This Row],[InvoiceDate]],"H AM/PM")</f>
        <v>9 AM</v>
      </c>
      <c r="H165" s="1">
        <f t="shared" si="2"/>
        <v>17.700000000000003</v>
      </c>
      <c r="I165" s="1">
        <v>536384</v>
      </c>
      <c r="J165" s="1">
        <v>22224</v>
      </c>
      <c r="K165" s="1" t="s">
        <v>160</v>
      </c>
      <c r="L165" s="1">
        <v>6</v>
      </c>
      <c r="M165" s="2">
        <v>40513.411805555559</v>
      </c>
      <c r="N165" s="1">
        <v>2.95</v>
      </c>
      <c r="O165" s="1">
        <v>18074</v>
      </c>
      <c r="P165" s="1" t="s">
        <v>10</v>
      </c>
      <c r="Q165" s="1"/>
    </row>
    <row r="166" spans="7:17" x14ac:dyDescent="0.25">
      <c r="G166" s="1" t="str">
        <f>TEXT(Table1[[#This Row],[InvoiceDate]],"H AM/PM")</f>
        <v>9 AM</v>
      </c>
      <c r="H166" s="1">
        <f t="shared" si="2"/>
        <v>25.5</v>
      </c>
      <c r="I166" s="1">
        <v>536384</v>
      </c>
      <c r="J166" s="1">
        <v>21340</v>
      </c>
      <c r="K166" s="1" t="s">
        <v>161</v>
      </c>
      <c r="L166" s="1">
        <v>2</v>
      </c>
      <c r="M166" s="2">
        <v>40513.411805555559</v>
      </c>
      <c r="N166" s="1">
        <v>12.75</v>
      </c>
      <c r="O166" s="1">
        <v>18074</v>
      </c>
      <c r="P166" s="1" t="s">
        <v>10</v>
      </c>
      <c r="Q166" s="1"/>
    </row>
    <row r="167" spans="7:17" x14ac:dyDescent="0.25">
      <c r="G167" s="1" t="str">
        <f>TEXT(Table1[[#This Row],[InvoiceDate]],"H AM/PM")</f>
        <v>9 AM</v>
      </c>
      <c r="H167" s="1">
        <f t="shared" si="2"/>
        <v>15.8</v>
      </c>
      <c r="I167" s="1">
        <v>536384</v>
      </c>
      <c r="J167" s="1">
        <v>22189</v>
      </c>
      <c r="K167" s="1" t="s">
        <v>162</v>
      </c>
      <c r="L167" s="1">
        <v>4</v>
      </c>
      <c r="M167" s="2">
        <v>40513.411805555559</v>
      </c>
      <c r="N167" s="1">
        <v>3.95</v>
      </c>
      <c r="O167" s="1">
        <v>18074</v>
      </c>
      <c r="P167" s="1" t="s">
        <v>10</v>
      </c>
      <c r="Q167" s="1"/>
    </row>
    <row r="168" spans="7:17" x14ac:dyDescent="0.25">
      <c r="G168" s="1" t="str">
        <f>TEXT(Table1[[#This Row],[InvoiceDate]],"H AM/PM")</f>
        <v>9 AM</v>
      </c>
      <c r="H168" s="1">
        <f t="shared" si="2"/>
        <v>17.850000000000001</v>
      </c>
      <c r="I168" s="1">
        <v>536384</v>
      </c>
      <c r="J168" s="1">
        <v>22427</v>
      </c>
      <c r="K168" s="1" t="s">
        <v>163</v>
      </c>
      <c r="L168" s="1">
        <v>3</v>
      </c>
      <c r="M168" s="2">
        <v>40513.411805555559</v>
      </c>
      <c r="N168" s="1">
        <v>5.95</v>
      </c>
      <c r="O168" s="1">
        <v>18074</v>
      </c>
      <c r="P168" s="1" t="s">
        <v>10</v>
      </c>
      <c r="Q168" s="1"/>
    </row>
    <row r="169" spans="7:17" x14ac:dyDescent="0.25">
      <c r="G169" s="1" t="str">
        <f>TEXT(Table1[[#This Row],[InvoiceDate]],"H AM/PM")</f>
        <v>9 AM</v>
      </c>
      <c r="H169" s="1">
        <f t="shared" si="2"/>
        <v>41.7</v>
      </c>
      <c r="I169" s="1">
        <v>536384</v>
      </c>
      <c r="J169" s="1">
        <v>22428</v>
      </c>
      <c r="K169" s="1" t="s">
        <v>164</v>
      </c>
      <c r="L169" s="1">
        <v>6</v>
      </c>
      <c r="M169" s="2">
        <v>40513.411805555559</v>
      </c>
      <c r="N169" s="1">
        <v>6.95</v>
      </c>
      <c r="O169" s="1">
        <v>18074</v>
      </c>
      <c r="P169" s="1" t="s">
        <v>10</v>
      </c>
      <c r="Q169" s="1"/>
    </row>
    <row r="170" spans="7:17" x14ac:dyDescent="0.25">
      <c r="G170" s="1" t="str">
        <f>TEXT(Table1[[#This Row],[InvoiceDate]],"H AM/PM")</f>
        <v>9 AM</v>
      </c>
      <c r="H170" s="1">
        <f t="shared" si="2"/>
        <v>87.6</v>
      </c>
      <c r="I170" s="1">
        <v>536384</v>
      </c>
      <c r="J170" s="1">
        <v>22424</v>
      </c>
      <c r="K170" s="1" t="s">
        <v>165</v>
      </c>
      <c r="L170" s="1">
        <v>8</v>
      </c>
      <c r="M170" s="2">
        <v>40513.411805555559</v>
      </c>
      <c r="N170" s="1">
        <v>10.95</v>
      </c>
      <c r="O170" s="1">
        <v>18074</v>
      </c>
      <c r="P170" s="1" t="s">
        <v>10</v>
      </c>
      <c r="Q170" s="1"/>
    </row>
    <row r="171" spans="7:17" x14ac:dyDescent="0.25">
      <c r="G171" s="1" t="str">
        <f>TEXT(Table1[[#This Row],[InvoiceDate]],"H AM/PM")</f>
        <v>9 AM</v>
      </c>
      <c r="H171" s="1">
        <f t="shared" si="2"/>
        <v>19.95</v>
      </c>
      <c r="I171" s="1">
        <v>536385</v>
      </c>
      <c r="J171" s="1">
        <v>22783</v>
      </c>
      <c r="K171" s="1" t="s">
        <v>149</v>
      </c>
      <c r="L171" s="1">
        <v>1</v>
      </c>
      <c r="M171" s="2">
        <v>40513.413888888892</v>
      </c>
      <c r="N171" s="1">
        <v>19.95</v>
      </c>
      <c r="O171" s="1">
        <v>17420</v>
      </c>
      <c r="P171" s="1" t="s">
        <v>10</v>
      </c>
      <c r="Q171" s="1"/>
    </row>
    <row r="172" spans="7:17" x14ac:dyDescent="0.25">
      <c r="G172" s="1" t="str">
        <f>TEXT(Table1[[#This Row],[InvoiceDate]],"H AM/PM")</f>
        <v>9 AM</v>
      </c>
      <c r="H172" s="1">
        <f t="shared" si="2"/>
        <v>17.399999999999999</v>
      </c>
      <c r="I172" s="1">
        <v>536385</v>
      </c>
      <c r="J172" s="1">
        <v>22961</v>
      </c>
      <c r="K172" s="1" t="s">
        <v>100</v>
      </c>
      <c r="L172" s="1">
        <v>12</v>
      </c>
      <c r="M172" s="2">
        <v>40513.413888888892</v>
      </c>
      <c r="N172" s="1">
        <v>1.45</v>
      </c>
      <c r="O172" s="1">
        <v>17420</v>
      </c>
      <c r="P172" s="1" t="s">
        <v>10</v>
      </c>
      <c r="Q172" s="1"/>
    </row>
    <row r="173" spans="7:17" x14ac:dyDescent="0.25">
      <c r="G173" s="1" t="str">
        <f>TEXT(Table1[[#This Row],[InvoiceDate]],"H AM/PM")</f>
        <v>9 AM</v>
      </c>
      <c r="H173" s="1">
        <f t="shared" si="2"/>
        <v>25.5</v>
      </c>
      <c r="I173" s="1">
        <v>536385</v>
      </c>
      <c r="J173" s="1">
        <v>22960</v>
      </c>
      <c r="K173" s="1" t="s">
        <v>34</v>
      </c>
      <c r="L173" s="1">
        <v>6</v>
      </c>
      <c r="M173" s="2">
        <v>40513.413888888892</v>
      </c>
      <c r="N173" s="1">
        <v>4.25</v>
      </c>
      <c r="O173" s="1">
        <v>17420</v>
      </c>
      <c r="P173" s="1" t="s">
        <v>10</v>
      </c>
      <c r="Q173" s="1"/>
    </row>
    <row r="174" spans="7:17" x14ac:dyDescent="0.25">
      <c r="G174" s="1" t="str">
        <f>TEXT(Table1[[#This Row],[InvoiceDate]],"H AM/PM")</f>
        <v>9 AM</v>
      </c>
      <c r="H174" s="1">
        <f t="shared" si="2"/>
        <v>19.5</v>
      </c>
      <c r="I174" s="1">
        <v>536385</v>
      </c>
      <c r="J174" s="1">
        <v>22663</v>
      </c>
      <c r="K174" s="1" t="s">
        <v>166</v>
      </c>
      <c r="L174" s="1">
        <v>10</v>
      </c>
      <c r="M174" s="2">
        <v>40513.413888888892</v>
      </c>
      <c r="N174" s="1">
        <v>1.95</v>
      </c>
      <c r="O174" s="1">
        <v>17420</v>
      </c>
      <c r="P174" s="1" t="s">
        <v>10</v>
      </c>
      <c r="Q174" s="1"/>
    </row>
    <row r="175" spans="7:17" x14ac:dyDescent="0.25">
      <c r="G175" s="1" t="str">
        <f>TEXT(Table1[[#This Row],[InvoiceDate]],"H AM/PM")</f>
        <v>9 AM</v>
      </c>
      <c r="H175" s="1">
        <f t="shared" si="2"/>
        <v>15</v>
      </c>
      <c r="I175" s="1">
        <v>536385</v>
      </c>
      <c r="J175" s="1" t="s">
        <v>167</v>
      </c>
      <c r="K175" s="1" t="s">
        <v>168</v>
      </c>
      <c r="L175" s="1">
        <v>12</v>
      </c>
      <c r="M175" s="2">
        <v>40513.413888888892</v>
      </c>
      <c r="N175" s="1">
        <v>1.25</v>
      </c>
      <c r="O175" s="1">
        <v>17420</v>
      </c>
      <c r="P175" s="1" t="s">
        <v>10</v>
      </c>
      <c r="Q175" s="1"/>
    </row>
    <row r="176" spans="7:17" x14ac:dyDescent="0.25">
      <c r="G176" s="1" t="str">
        <f>TEXT(Table1[[#This Row],[InvoiceDate]],"H AM/PM")</f>
        <v>9 AM</v>
      </c>
      <c r="H176" s="1">
        <f t="shared" si="2"/>
        <v>17</v>
      </c>
      <c r="I176" s="1">
        <v>536385</v>
      </c>
      <c r="J176" s="1">
        <v>22168</v>
      </c>
      <c r="K176" s="1" t="s">
        <v>169</v>
      </c>
      <c r="L176" s="1">
        <v>2</v>
      </c>
      <c r="M176" s="2">
        <v>40513.413888888892</v>
      </c>
      <c r="N176" s="1">
        <v>8.5</v>
      </c>
      <c r="O176" s="1">
        <v>17420</v>
      </c>
      <c r="P176" s="1" t="s">
        <v>10</v>
      </c>
      <c r="Q176" s="1"/>
    </row>
    <row r="177" spans="7:17" x14ac:dyDescent="0.25">
      <c r="G177" s="1" t="str">
        <f>TEXT(Table1[[#This Row],[InvoiceDate]],"H AM/PM")</f>
        <v>9 AM</v>
      </c>
      <c r="H177" s="1">
        <f t="shared" si="2"/>
        <v>16.5</v>
      </c>
      <c r="I177" s="1">
        <v>536385</v>
      </c>
      <c r="J177" s="1">
        <v>22662</v>
      </c>
      <c r="K177" s="1" t="s">
        <v>170</v>
      </c>
      <c r="L177" s="1">
        <v>10</v>
      </c>
      <c r="M177" s="2">
        <v>40513.413888888892</v>
      </c>
      <c r="N177" s="1">
        <v>1.65</v>
      </c>
      <c r="O177" s="1">
        <v>17420</v>
      </c>
      <c r="P177" s="1" t="s">
        <v>10</v>
      </c>
      <c r="Q177" s="1"/>
    </row>
    <row r="178" spans="7:17" x14ac:dyDescent="0.25">
      <c r="G178" s="1" t="str">
        <f>TEXT(Table1[[#This Row],[InvoiceDate]],"H AM/PM")</f>
        <v>9 AM</v>
      </c>
      <c r="H178" s="1">
        <f t="shared" si="2"/>
        <v>178.20000000000002</v>
      </c>
      <c r="I178" s="1">
        <v>536386</v>
      </c>
      <c r="J178" s="1">
        <v>84880</v>
      </c>
      <c r="K178" s="1" t="s">
        <v>171</v>
      </c>
      <c r="L178" s="1">
        <v>36</v>
      </c>
      <c r="M178" s="2">
        <v>40513.414583333331</v>
      </c>
      <c r="N178" s="1">
        <v>4.95</v>
      </c>
      <c r="O178" s="1">
        <v>16029</v>
      </c>
      <c r="P178" s="1" t="s">
        <v>10</v>
      </c>
      <c r="Q178" s="1"/>
    </row>
    <row r="179" spans="7:17" x14ac:dyDescent="0.25">
      <c r="G179" s="1" t="str">
        <f>TEXT(Table1[[#This Row],[InvoiceDate]],"H AM/PM")</f>
        <v>9 AM</v>
      </c>
      <c r="H179" s="1">
        <f t="shared" si="2"/>
        <v>165</v>
      </c>
      <c r="I179" s="1">
        <v>536386</v>
      </c>
      <c r="J179" s="1" t="s">
        <v>76</v>
      </c>
      <c r="K179" s="1" t="s">
        <v>77</v>
      </c>
      <c r="L179" s="1">
        <v>100</v>
      </c>
      <c r="M179" s="2">
        <v>40513.414583333331</v>
      </c>
      <c r="N179" s="1">
        <v>1.65</v>
      </c>
      <c r="O179" s="1">
        <v>16029</v>
      </c>
      <c r="P179" s="1" t="s">
        <v>10</v>
      </c>
      <c r="Q179" s="1"/>
    </row>
    <row r="180" spans="7:17" x14ac:dyDescent="0.25">
      <c r="G180" s="1" t="str">
        <f>TEXT(Table1[[#This Row],[InvoiceDate]],"H AM/PM")</f>
        <v>9 AM</v>
      </c>
      <c r="H180" s="1">
        <f t="shared" si="2"/>
        <v>165</v>
      </c>
      <c r="I180" s="1">
        <v>536386</v>
      </c>
      <c r="J180" s="1" t="s">
        <v>172</v>
      </c>
      <c r="K180" s="1" t="s">
        <v>173</v>
      </c>
      <c r="L180" s="1">
        <v>100</v>
      </c>
      <c r="M180" s="2">
        <v>40513.414583333331</v>
      </c>
      <c r="N180" s="1">
        <v>1.65</v>
      </c>
      <c r="O180" s="1">
        <v>16029</v>
      </c>
      <c r="P180" s="1" t="s">
        <v>10</v>
      </c>
      <c r="Q180" s="1"/>
    </row>
    <row r="181" spans="7:17" x14ac:dyDescent="0.25">
      <c r="G181" s="1" t="str">
        <f>TEXT(Table1[[#This Row],[InvoiceDate]],"H AM/PM")</f>
        <v>9 AM</v>
      </c>
      <c r="H181" s="1">
        <f t="shared" si="2"/>
        <v>733.43999999999994</v>
      </c>
      <c r="I181" s="1">
        <v>536387</v>
      </c>
      <c r="J181" s="1">
        <v>79321</v>
      </c>
      <c r="K181" s="1" t="s">
        <v>174</v>
      </c>
      <c r="L181" s="1">
        <v>192</v>
      </c>
      <c r="M181" s="2">
        <v>40513.415277777778</v>
      </c>
      <c r="N181" s="1">
        <v>3.82</v>
      </c>
      <c r="O181" s="1">
        <v>16029</v>
      </c>
      <c r="P181" s="1" t="s">
        <v>10</v>
      </c>
      <c r="Q181" s="1"/>
    </row>
    <row r="182" spans="7:17" x14ac:dyDescent="0.25">
      <c r="G182" s="1" t="str">
        <f>TEXT(Table1[[#This Row],[InvoiceDate]],"H AM/PM")</f>
        <v>9 AM</v>
      </c>
      <c r="H182" s="1">
        <f t="shared" si="2"/>
        <v>647.04</v>
      </c>
      <c r="I182" s="1">
        <v>536387</v>
      </c>
      <c r="J182" s="1">
        <v>22780</v>
      </c>
      <c r="K182" s="1" t="s">
        <v>175</v>
      </c>
      <c r="L182" s="1">
        <v>192</v>
      </c>
      <c r="M182" s="2">
        <v>40513.415277777778</v>
      </c>
      <c r="N182" s="1">
        <v>3.37</v>
      </c>
      <c r="O182" s="1">
        <v>16029</v>
      </c>
      <c r="P182" s="1" t="s">
        <v>10</v>
      </c>
      <c r="Q182" s="1"/>
    </row>
    <row r="183" spans="7:17" x14ac:dyDescent="0.25">
      <c r="G183" s="1" t="str">
        <f>TEXT(Table1[[#This Row],[InvoiceDate]],"H AM/PM")</f>
        <v>9 AM</v>
      </c>
      <c r="H183" s="1">
        <f t="shared" si="2"/>
        <v>647.04</v>
      </c>
      <c r="I183" s="1">
        <v>536387</v>
      </c>
      <c r="J183" s="1">
        <v>22779</v>
      </c>
      <c r="K183" s="1" t="s">
        <v>176</v>
      </c>
      <c r="L183" s="1">
        <v>192</v>
      </c>
      <c r="M183" s="2">
        <v>40513.415277777778</v>
      </c>
      <c r="N183" s="1">
        <v>3.37</v>
      </c>
      <c r="O183" s="1">
        <v>16029</v>
      </c>
      <c r="P183" s="1" t="s">
        <v>10</v>
      </c>
      <c r="Q183" s="1"/>
    </row>
    <row r="184" spans="7:17" x14ac:dyDescent="0.25">
      <c r="G184" s="1" t="str">
        <f>TEXT(Table1[[#This Row],[InvoiceDate]],"H AM/PM")</f>
        <v>9 AM</v>
      </c>
      <c r="H184" s="1">
        <f t="shared" si="2"/>
        <v>626.4</v>
      </c>
      <c r="I184" s="1">
        <v>536387</v>
      </c>
      <c r="J184" s="1">
        <v>22466</v>
      </c>
      <c r="K184" s="1" t="s">
        <v>177</v>
      </c>
      <c r="L184" s="1">
        <v>432</v>
      </c>
      <c r="M184" s="2">
        <v>40513.415277777778</v>
      </c>
      <c r="N184" s="1">
        <v>1.45</v>
      </c>
      <c r="O184" s="1">
        <v>16029</v>
      </c>
      <c r="P184" s="1" t="s">
        <v>10</v>
      </c>
      <c r="Q184" s="1"/>
    </row>
    <row r="185" spans="7:17" x14ac:dyDescent="0.25">
      <c r="G185" s="1" t="str">
        <f>TEXT(Table1[[#This Row],[InvoiceDate]],"H AM/PM")</f>
        <v>9 AM</v>
      </c>
      <c r="H185" s="1">
        <f t="shared" si="2"/>
        <v>540</v>
      </c>
      <c r="I185" s="1">
        <v>536387</v>
      </c>
      <c r="J185" s="1">
        <v>21731</v>
      </c>
      <c r="K185" s="1" t="s">
        <v>53</v>
      </c>
      <c r="L185" s="1">
        <v>432</v>
      </c>
      <c r="M185" s="2">
        <v>40513.415277777778</v>
      </c>
      <c r="N185" s="1">
        <v>1.25</v>
      </c>
      <c r="O185" s="1">
        <v>16029</v>
      </c>
      <c r="P185" s="1" t="s">
        <v>10</v>
      </c>
      <c r="Q185" s="1"/>
    </row>
    <row r="186" spans="7:17" x14ac:dyDescent="0.25">
      <c r="G186" s="1" t="str">
        <f>TEXT(Table1[[#This Row],[InvoiceDate]],"H AM/PM")</f>
        <v>9 AM</v>
      </c>
      <c r="H186" s="1">
        <f t="shared" si="2"/>
        <v>17.850000000000001</v>
      </c>
      <c r="I186" s="1">
        <v>536388</v>
      </c>
      <c r="J186" s="1">
        <v>21754</v>
      </c>
      <c r="K186" s="1" t="s">
        <v>30</v>
      </c>
      <c r="L186" s="1">
        <v>3</v>
      </c>
      <c r="M186" s="2">
        <v>40513.415972222225</v>
      </c>
      <c r="N186" s="1">
        <v>5.95</v>
      </c>
      <c r="O186" s="1">
        <v>16250</v>
      </c>
      <c r="P186" s="1" t="s">
        <v>10</v>
      </c>
      <c r="Q186" s="1"/>
    </row>
    <row r="187" spans="7:17" x14ac:dyDescent="0.25">
      <c r="G187" s="1" t="str">
        <f>TEXT(Table1[[#This Row],[InvoiceDate]],"H AM/PM")</f>
        <v>9 AM</v>
      </c>
      <c r="H187" s="1">
        <f t="shared" si="2"/>
        <v>17.850000000000001</v>
      </c>
      <c r="I187" s="1">
        <v>536388</v>
      </c>
      <c r="J187" s="1">
        <v>21755</v>
      </c>
      <c r="K187" s="1" t="s">
        <v>31</v>
      </c>
      <c r="L187" s="1">
        <v>3</v>
      </c>
      <c r="M187" s="2">
        <v>40513.415972222225</v>
      </c>
      <c r="N187" s="1">
        <v>5.95</v>
      </c>
      <c r="O187" s="1">
        <v>16250</v>
      </c>
      <c r="P187" s="1" t="s">
        <v>10</v>
      </c>
      <c r="Q187" s="1"/>
    </row>
    <row r="188" spans="7:17" x14ac:dyDescent="0.25">
      <c r="G188" s="1" t="str">
        <f>TEXT(Table1[[#This Row],[InvoiceDate]],"H AM/PM")</f>
        <v>9 AM</v>
      </c>
      <c r="H188" s="1">
        <f t="shared" si="2"/>
        <v>15.9</v>
      </c>
      <c r="I188" s="1">
        <v>536388</v>
      </c>
      <c r="J188" s="1">
        <v>21523</v>
      </c>
      <c r="K188" s="1" t="s">
        <v>137</v>
      </c>
      <c r="L188" s="1">
        <v>2</v>
      </c>
      <c r="M188" s="2">
        <v>40513.415972222225</v>
      </c>
      <c r="N188" s="1">
        <v>7.95</v>
      </c>
      <c r="O188" s="1">
        <v>16250</v>
      </c>
      <c r="P188" s="1" t="s">
        <v>10</v>
      </c>
      <c r="Q188" s="1"/>
    </row>
    <row r="189" spans="7:17" x14ac:dyDescent="0.25">
      <c r="G189" s="1" t="str">
        <f>TEXT(Table1[[#This Row],[InvoiceDate]],"H AM/PM")</f>
        <v>9 AM</v>
      </c>
      <c r="H189" s="1">
        <f t="shared" si="2"/>
        <v>14.850000000000001</v>
      </c>
      <c r="I189" s="1">
        <v>536388</v>
      </c>
      <c r="J189" s="1">
        <v>21363</v>
      </c>
      <c r="K189" s="1" t="s">
        <v>178</v>
      </c>
      <c r="L189" s="1">
        <v>3</v>
      </c>
      <c r="M189" s="2">
        <v>40513.415972222225</v>
      </c>
      <c r="N189" s="1">
        <v>4.95</v>
      </c>
      <c r="O189" s="1">
        <v>16250</v>
      </c>
      <c r="P189" s="1" t="s">
        <v>10</v>
      </c>
      <c r="Q189" s="1"/>
    </row>
    <row r="190" spans="7:17" x14ac:dyDescent="0.25">
      <c r="G190" s="1" t="str">
        <f>TEXT(Table1[[#This Row],[InvoiceDate]],"H AM/PM")</f>
        <v>9 AM</v>
      </c>
      <c r="H190" s="1">
        <f t="shared" si="2"/>
        <v>12.75</v>
      </c>
      <c r="I190" s="1">
        <v>536388</v>
      </c>
      <c r="J190" s="1">
        <v>21411</v>
      </c>
      <c r="K190" s="1" t="s">
        <v>179</v>
      </c>
      <c r="L190" s="1">
        <v>3</v>
      </c>
      <c r="M190" s="2">
        <v>40513.415972222225</v>
      </c>
      <c r="N190" s="1">
        <v>4.25</v>
      </c>
      <c r="O190" s="1">
        <v>16250</v>
      </c>
      <c r="P190" s="1" t="s">
        <v>10</v>
      </c>
      <c r="Q190" s="1"/>
    </row>
    <row r="191" spans="7:17" x14ac:dyDescent="0.25">
      <c r="G191" s="1" t="str">
        <f>TEXT(Table1[[#This Row],[InvoiceDate]],"H AM/PM")</f>
        <v>9 AM</v>
      </c>
      <c r="H191" s="1">
        <f t="shared" si="2"/>
        <v>17.700000000000003</v>
      </c>
      <c r="I191" s="1">
        <v>536388</v>
      </c>
      <c r="J191" s="1">
        <v>22318</v>
      </c>
      <c r="K191" s="1" t="s">
        <v>180</v>
      </c>
      <c r="L191" s="1">
        <v>6</v>
      </c>
      <c r="M191" s="2">
        <v>40513.415972222225</v>
      </c>
      <c r="N191" s="1">
        <v>2.95</v>
      </c>
      <c r="O191" s="1">
        <v>16250</v>
      </c>
      <c r="P191" s="1" t="s">
        <v>10</v>
      </c>
      <c r="Q191" s="1"/>
    </row>
    <row r="192" spans="7:17" x14ac:dyDescent="0.25">
      <c r="G192" s="1" t="str">
        <f>TEXT(Table1[[#This Row],[InvoiceDate]],"H AM/PM")</f>
        <v>9 AM</v>
      </c>
      <c r="H192" s="1">
        <f t="shared" si="2"/>
        <v>19.799999999999997</v>
      </c>
      <c r="I192" s="1">
        <v>536388</v>
      </c>
      <c r="J192" s="1">
        <v>22464</v>
      </c>
      <c r="K192" s="1" t="s">
        <v>155</v>
      </c>
      <c r="L192" s="1">
        <v>12</v>
      </c>
      <c r="M192" s="2">
        <v>40513.415972222225</v>
      </c>
      <c r="N192" s="1">
        <v>1.65</v>
      </c>
      <c r="O192" s="1">
        <v>16250</v>
      </c>
      <c r="P192" s="1" t="s">
        <v>10</v>
      </c>
      <c r="Q192" s="1"/>
    </row>
    <row r="193" spans="7:17" x14ac:dyDescent="0.25">
      <c r="G193" s="1" t="str">
        <f>TEXT(Table1[[#This Row],[InvoiceDate]],"H AM/PM")</f>
        <v>9 AM</v>
      </c>
      <c r="H193" s="1">
        <f t="shared" si="2"/>
        <v>5.04</v>
      </c>
      <c r="I193" s="1">
        <v>536388</v>
      </c>
      <c r="J193" s="1">
        <v>22915</v>
      </c>
      <c r="K193" s="1" t="s">
        <v>181</v>
      </c>
      <c r="L193" s="1">
        <v>12</v>
      </c>
      <c r="M193" s="2">
        <v>40513.415972222225</v>
      </c>
      <c r="N193" s="1">
        <v>0.42</v>
      </c>
      <c r="O193" s="1">
        <v>16250</v>
      </c>
      <c r="P193" s="1" t="s">
        <v>10</v>
      </c>
      <c r="Q193" s="1"/>
    </row>
    <row r="194" spans="7:17" x14ac:dyDescent="0.25">
      <c r="G194" s="1" t="str">
        <f>TEXT(Table1[[#This Row],[InvoiceDate]],"H AM/PM")</f>
        <v>9 AM</v>
      </c>
      <c r="H194" s="1">
        <f t="shared" si="2"/>
        <v>10.199999999999999</v>
      </c>
      <c r="I194" s="1">
        <v>536388</v>
      </c>
      <c r="J194" s="1">
        <v>22922</v>
      </c>
      <c r="K194" s="1" t="s">
        <v>182</v>
      </c>
      <c r="L194" s="1">
        <v>12</v>
      </c>
      <c r="M194" s="2">
        <v>40513.415972222225</v>
      </c>
      <c r="N194" s="1">
        <v>0.85</v>
      </c>
      <c r="O194" s="1">
        <v>16250</v>
      </c>
      <c r="P194" s="1" t="s">
        <v>10</v>
      </c>
      <c r="Q194" s="1"/>
    </row>
    <row r="195" spans="7:17" x14ac:dyDescent="0.25">
      <c r="G195" s="1" t="str">
        <f>TEXT(Table1[[#This Row],[InvoiceDate]],"H AM/PM")</f>
        <v>9 AM</v>
      </c>
      <c r="H195" s="1">
        <f t="shared" ref="H195:H258" si="3">N195*L195</f>
        <v>17.399999999999999</v>
      </c>
      <c r="I195" s="1">
        <v>536388</v>
      </c>
      <c r="J195" s="1">
        <v>22969</v>
      </c>
      <c r="K195" s="1" t="s">
        <v>183</v>
      </c>
      <c r="L195" s="1">
        <v>12</v>
      </c>
      <c r="M195" s="2">
        <v>40513.415972222225</v>
      </c>
      <c r="N195" s="1">
        <v>1.45</v>
      </c>
      <c r="O195" s="1">
        <v>16250</v>
      </c>
      <c r="P195" s="1" t="s">
        <v>10</v>
      </c>
      <c r="Q195" s="1"/>
    </row>
    <row r="196" spans="7:17" x14ac:dyDescent="0.25">
      <c r="G196" s="1" t="str">
        <f>TEXT(Table1[[#This Row],[InvoiceDate]],"H AM/PM")</f>
        <v>9 AM</v>
      </c>
      <c r="H196" s="1">
        <f t="shared" si="3"/>
        <v>10.199999999999999</v>
      </c>
      <c r="I196" s="1">
        <v>536388</v>
      </c>
      <c r="J196" s="1">
        <v>22923</v>
      </c>
      <c r="K196" s="1" t="s">
        <v>184</v>
      </c>
      <c r="L196" s="1">
        <v>12</v>
      </c>
      <c r="M196" s="2">
        <v>40513.415972222225</v>
      </c>
      <c r="N196" s="1">
        <v>0.85</v>
      </c>
      <c r="O196" s="1">
        <v>16250</v>
      </c>
      <c r="P196" s="1" t="s">
        <v>10</v>
      </c>
      <c r="Q196" s="1"/>
    </row>
    <row r="197" spans="7:17" x14ac:dyDescent="0.25">
      <c r="G197" s="1" t="str">
        <f>TEXT(Table1[[#This Row],[InvoiceDate]],"H AM/PM")</f>
        <v>9 AM</v>
      </c>
      <c r="H197" s="1">
        <f t="shared" si="3"/>
        <v>27</v>
      </c>
      <c r="I197" s="1">
        <v>536388</v>
      </c>
      <c r="J197" s="1">
        <v>21115</v>
      </c>
      <c r="K197" s="1" t="s">
        <v>185</v>
      </c>
      <c r="L197" s="1">
        <v>4</v>
      </c>
      <c r="M197" s="2">
        <v>40513.415972222225</v>
      </c>
      <c r="N197" s="1">
        <v>6.75</v>
      </c>
      <c r="O197" s="1">
        <v>16250</v>
      </c>
      <c r="P197" s="1" t="s">
        <v>10</v>
      </c>
      <c r="Q197" s="1"/>
    </row>
    <row r="198" spans="7:17" x14ac:dyDescent="0.25">
      <c r="G198" s="1" t="str">
        <f>TEXT(Table1[[#This Row],[InvoiceDate]],"H AM/PM")</f>
        <v>9 AM</v>
      </c>
      <c r="H198" s="1">
        <f t="shared" si="3"/>
        <v>19.799999999999997</v>
      </c>
      <c r="I198" s="1">
        <v>536388</v>
      </c>
      <c r="J198" s="1">
        <v>22469</v>
      </c>
      <c r="K198" s="1" t="s">
        <v>158</v>
      </c>
      <c r="L198" s="1">
        <v>12</v>
      </c>
      <c r="M198" s="2">
        <v>40513.415972222225</v>
      </c>
      <c r="N198" s="1">
        <v>1.65</v>
      </c>
      <c r="O198" s="1">
        <v>16250</v>
      </c>
      <c r="P198" s="1" t="s">
        <v>10</v>
      </c>
      <c r="Q198" s="1"/>
    </row>
    <row r="199" spans="7:17" x14ac:dyDescent="0.25">
      <c r="G199" s="1" t="str">
        <f>TEXT(Table1[[#This Row],[InvoiceDate]],"H AM/PM")</f>
        <v>9 AM</v>
      </c>
      <c r="H199" s="1">
        <f t="shared" si="3"/>
        <v>19.799999999999997</v>
      </c>
      <c r="I199" s="1">
        <v>536388</v>
      </c>
      <c r="J199" s="1">
        <v>22242</v>
      </c>
      <c r="K199" s="1" t="s">
        <v>186</v>
      </c>
      <c r="L199" s="1">
        <v>12</v>
      </c>
      <c r="M199" s="2">
        <v>40513.415972222225</v>
      </c>
      <c r="N199" s="1">
        <v>1.65</v>
      </c>
      <c r="O199" s="1">
        <v>16250</v>
      </c>
      <c r="P199" s="1" t="s">
        <v>10</v>
      </c>
      <c r="Q199" s="1"/>
    </row>
    <row r="200" spans="7:17" x14ac:dyDescent="0.25">
      <c r="G200" s="1" t="str">
        <f>TEXT(Table1[[#This Row],[InvoiceDate]],"H AM/PM")</f>
        <v>10 AM</v>
      </c>
      <c r="H200" s="1">
        <f t="shared" si="3"/>
        <v>51</v>
      </c>
      <c r="I200" s="1">
        <v>536389</v>
      </c>
      <c r="J200" s="1">
        <v>22941</v>
      </c>
      <c r="K200" s="1" t="s">
        <v>187</v>
      </c>
      <c r="L200" s="1">
        <v>6</v>
      </c>
      <c r="M200" s="2">
        <v>40513.418749999997</v>
      </c>
      <c r="N200" s="1">
        <v>8.5</v>
      </c>
      <c r="O200" s="1">
        <v>12431</v>
      </c>
      <c r="P200" s="1" t="s">
        <v>188</v>
      </c>
      <c r="Q200" s="1"/>
    </row>
    <row r="201" spans="7:17" x14ac:dyDescent="0.25">
      <c r="G201" s="1" t="str">
        <f>TEXT(Table1[[#This Row],[InvoiceDate]],"H AM/PM")</f>
        <v>10 AM</v>
      </c>
      <c r="H201" s="1">
        <f t="shared" si="3"/>
        <v>39.6</v>
      </c>
      <c r="I201" s="1">
        <v>536389</v>
      </c>
      <c r="J201" s="1">
        <v>21622</v>
      </c>
      <c r="K201" s="1" t="s">
        <v>189</v>
      </c>
      <c r="L201" s="1">
        <v>8</v>
      </c>
      <c r="M201" s="2">
        <v>40513.418749999997</v>
      </c>
      <c r="N201" s="1">
        <v>4.95</v>
      </c>
      <c r="O201" s="1">
        <v>12431</v>
      </c>
      <c r="P201" s="1" t="s">
        <v>188</v>
      </c>
      <c r="Q201" s="1"/>
    </row>
    <row r="202" spans="7:17" x14ac:dyDescent="0.25">
      <c r="G202" s="1" t="str">
        <f>TEXT(Table1[[#This Row],[InvoiceDate]],"H AM/PM")</f>
        <v>10 AM</v>
      </c>
      <c r="H202" s="1">
        <f t="shared" si="3"/>
        <v>15</v>
      </c>
      <c r="I202" s="1">
        <v>536389</v>
      </c>
      <c r="J202" s="1">
        <v>21791</v>
      </c>
      <c r="K202" s="1" t="s">
        <v>46</v>
      </c>
      <c r="L202" s="1">
        <v>12</v>
      </c>
      <c r="M202" s="2">
        <v>40513.418749999997</v>
      </c>
      <c r="N202" s="1">
        <v>1.25</v>
      </c>
      <c r="O202" s="1">
        <v>12431</v>
      </c>
      <c r="P202" s="1" t="s">
        <v>188</v>
      </c>
      <c r="Q202" s="1"/>
    </row>
    <row r="203" spans="7:17" x14ac:dyDescent="0.25">
      <c r="G203" s="1" t="str">
        <f>TEXT(Table1[[#This Row],[InvoiceDate]],"H AM/PM")</f>
        <v>10 AM</v>
      </c>
      <c r="H203" s="1">
        <f t="shared" si="3"/>
        <v>32.700000000000003</v>
      </c>
      <c r="I203" s="1">
        <v>536389</v>
      </c>
      <c r="J203" s="1" t="s">
        <v>151</v>
      </c>
      <c r="K203" s="1" t="s">
        <v>152</v>
      </c>
      <c r="L203" s="1">
        <v>6</v>
      </c>
      <c r="M203" s="2">
        <v>40513.418749999997</v>
      </c>
      <c r="N203" s="1">
        <v>5.45</v>
      </c>
      <c r="O203" s="1">
        <v>12431</v>
      </c>
      <c r="P203" s="1" t="s">
        <v>188</v>
      </c>
      <c r="Q203" s="1"/>
    </row>
    <row r="204" spans="7:17" x14ac:dyDescent="0.25">
      <c r="G204" s="1" t="str">
        <f>TEXT(Table1[[#This Row],[InvoiceDate]],"H AM/PM")</f>
        <v>10 AM</v>
      </c>
      <c r="H204" s="1">
        <f t="shared" si="3"/>
        <v>25.4</v>
      </c>
      <c r="I204" s="1">
        <v>536389</v>
      </c>
      <c r="J204" s="1" t="s">
        <v>190</v>
      </c>
      <c r="K204" s="1" t="s">
        <v>191</v>
      </c>
      <c r="L204" s="1">
        <v>4</v>
      </c>
      <c r="M204" s="2">
        <v>40513.418749999997</v>
      </c>
      <c r="N204" s="1">
        <v>6.35</v>
      </c>
      <c r="O204" s="1">
        <v>12431</v>
      </c>
      <c r="P204" s="1" t="s">
        <v>188</v>
      </c>
      <c r="Q204" s="1"/>
    </row>
    <row r="205" spans="7:17" x14ac:dyDescent="0.25">
      <c r="G205" s="1" t="str">
        <f>TEXT(Table1[[#This Row],[InvoiceDate]],"H AM/PM")</f>
        <v>10 AM</v>
      </c>
      <c r="H205" s="1">
        <f t="shared" si="3"/>
        <v>35.700000000000003</v>
      </c>
      <c r="I205" s="1">
        <v>536389</v>
      </c>
      <c r="J205" s="1" t="s">
        <v>192</v>
      </c>
      <c r="K205" s="1" t="s">
        <v>193</v>
      </c>
      <c r="L205" s="1">
        <v>6</v>
      </c>
      <c r="M205" s="2">
        <v>40513.418749999997</v>
      </c>
      <c r="N205" s="1">
        <v>5.95</v>
      </c>
      <c r="O205" s="1">
        <v>12431</v>
      </c>
      <c r="P205" s="1" t="s">
        <v>188</v>
      </c>
      <c r="Q205" s="1"/>
    </row>
    <row r="206" spans="7:17" x14ac:dyDescent="0.25">
      <c r="G206" s="1" t="str">
        <f>TEXT(Table1[[#This Row],[InvoiceDate]],"H AM/PM")</f>
        <v>10 AM</v>
      </c>
      <c r="H206" s="1">
        <f t="shared" si="3"/>
        <v>17.850000000000001</v>
      </c>
      <c r="I206" s="1">
        <v>536389</v>
      </c>
      <c r="J206" s="1" t="s">
        <v>194</v>
      </c>
      <c r="K206" s="1" t="s">
        <v>195</v>
      </c>
      <c r="L206" s="1">
        <v>3</v>
      </c>
      <c r="M206" s="2">
        <v>40513.418749999997</v>
      </c>
      <c r="N206" s="1">
        <v>5.95</v>
      </c>
      <c r="O206" s="1">
        <v>12431</v>
      </c>
      <c r="P206" s="1" t="s">
        <v>188</v>
      </c>
      <c r="Q206" s="1"/>
    </row>
    <row r="207" spans="7:17" x14ac:dyDescent="0.25">
      <c r="G207" s="1" t="str">
        <f>TEXT(Table1[[#This Row],[InvoiceDate]],"H AM/PM")</f>
        <v>10 AM</v>
      </c>
      <c r="H207" s="1">
        <f t="shared" si="3"/>
        <v>17</v>
      </c>
      <c r="I207" s="1">
        <v>536389</v>
      </c>
      <c r="J207" s="1">
        <v>22193</v>
      </c>
      <c r="K207" s="1" t="s">
        <v>196</v>
      </c>
      <c r="L207" s="1">
        <v>2</v>
      </c>
      <c r="M207" s="2">
        <v>40513.418749999997</v>
      </c>
      <c r="N207" s="1">
        <v>8.5</v>
      </c>
      <c r="O207" s="1">
        <v>12431</v>
      </c>
      <c r="P207" s="1" t="s">
        <v>188</v>
      </c>
      <c r="Q207" s="1"/>
    </row>
    <row r="208" spans="7:17" x14ac:dyDescent="0.25">
      <c r="G208" s="1" t="str">
        <f>TEXT(Table1[[#This Row],[InvoiceDate]],"H AM/PM")</f>
        <v>10 AM</v>
      </c>
      <c r="H208" s="1">
        <f t="shared" si="3"/>
        <v>15</v>
      </c>
      <c r="I208" s="1">
        <v>536389</v>
      </c>
      <c r="J208" s="1">
        <v>22726</v>
      </c>
      <c r="K208" s="1" t="s">
        <v>42</v>
      </c>
      <c r="L208" s="1">
        <v>4</v>
      </c>
      <c r="M208" s="2">
        <v>40513.418749999997</v>
      </c>
      <c r="N208" s="1">
        <v>3.75</v>
      </c>
      <c r="O208" s="1">
        <v>12431</v>
      </c>
      <c r="P208" s="1" t="s">
        <v>188</v>
      </c>
      <c r="Q208" s="1"/>
    </row>
    <row r="209" spans="7:17" x14ac:dyDescent="0.25">
      <c r="G209" s="1" t="str">
        <f>TEXT(Table1[[#This Row],[InvoiceDate]],"H AM/PM")</f>
        <v>10 AM</v>
      </c>
      <c r="H209" s="1">
        <f t="shared" si="3"/>
        <v>15</v>
      </c>
      <c r="I209" s="1">
        <v>536389</v>
      </c>
      <c r="J209" s="1">
        <v>22727</v>
      </c>
      <c r="K209" s="1" t="s">
        <v>41</v>
      </c>
      <c r="L209" s="1">
        <v>4</v>
      </c>
      <c r="M209" s="2">
        <v>40513.418749999997</v>
      </c>
      <c r="N209" s="1">
        <v>3.75</v>
      </c>
      <c r="O209" s="1">
        <v>12431</v>
      </c>
      <c r="P209" s="1" t="s">
        <v>188</v>
      </c>
      <c r="Q209" s="1"/>
    </row>
    <row r="210" spans="7:17" x14ac:dyDescent="0.25">
      <c r="G210" s="1" t="str">
        <f>TEXT(Table1[[#This Row],[InvoiceDate]],"H AM/PM")</f>
        <v>10 AM</v>
      </c>
      <c r="H210" s="1">
        <f t="shared" si="3"/>
        <v>17</v>
      </c>
      <c r="I210" s="1">
        <v>536389</v>
      </c>
      <c r="J210" s="1">
        <v>22192</v>
      </c>
      <c r="K210" s="1" t="s">
        <v>197</v>
      </c>
      <c r="L210" s="1">
        <v>2</v>
      </c>
      <c r="M210" s="2">
        <v>40513.418749999997</v>
      </c>
      <c r="N210" s="1">
        <v>8.5</v>
      </c>
      <c r="O210" s="1">
        <v>12431</v>
      </c>
      <c r="P210" s="1" t="s">
        <v>188</v>
      </c>
      <c r="Q210" s="1"/>
    </row>
    <row r="211" spans="7:17" x14ac:dyDescent="0.25">
      <c r="G211" s="1" t="str">
        <f>TEXT(Table1[[#This Row],[InvoiceDate]],"H AM/PM")</f>
        <v>10 AM</v>
      </c>
      <c r="H211" s="1">
        <f t="shared" si="3"/>
        <v>17</v>
      </c>
      <c r="I211" s="1">
        <v>536389</v>
      </c>
      <c r="J211" s="1">
        <v>22191</v>
      </c>
      <c r="K211" s="1" t="s">
        <v>198</v>
      </c>
      <c r="L211" s="1">
        <v>2</v>
      </c>
      <c r="M211" s="2">
        <v>40513.418749999997</v>
      </c>
      <c r="N211" s="1">
        <v>8.5</v>
      </c>
      <c r="O211" s="1">
        <v>12431</v>
      </c>
      <c r="P211" s="1" t="s">
        <v>188</v>
      </c>
      <c r="Q211" s="1"/>
    </row>
    <row r="212" spans="7:17" x14ac:dyDescent="0.25">
      <c r="G212" s="1" t="str">
        <f>TEXT(Table1[[#This Row],[InvoiceDate]],"H AM/PM")</f>
        <v>10 AM</v>
      </c>
      <c r="H212" s="1">
        <f t="shared" si="3"/>
        <v>39.599999999999994</v>
      </c>
      <c r="I212" s="1">
        <v>536389</v>
      </c>
      <c r="J212" s="1">
        <v>22195</v>
      </c>
      <c r="K212" s="1" t="s">
        <v>199</v>
      </c>
      <c r="L212" s="1">
        <v>24</v>
      </c>
      <c r="M212" s="2">
        <v>40513.418749999997</v>
      </c>
      <c r="N212" s="1">
        <v>1.65</v>
      </c>
      <c r="O212" s="1">
        <v>12431</v>
      </c>
      <c r="P212" s="1" t="s">
        <v>188</v>
      </c>
      <c r="Q212" s="1"/>
    </row>
    <row r="213" spans="7:17" x14ac:dyDescent="0.25">
      <c r="G213" s="1" t="str">
        <f>TEXT(Table1[[#This Row],[InvoiceDate]],"H AM/PM")</f>
        <v>10 AM</v>
      </c>
      <c r="H213" s="1">
        <f t="shared" si="3"/>
        <v>20.399999999999999</v>
      </c>
      <c r="I213" s="1">
        <v>536389</v>
      </c>
      <c r="J213" s="1">
        <v>22196</v>
      </c>
      <c r="K213" s="1" t="s">
        <v>200</v>
      </c>
      <c r="L213" s="1">
        <v>24</v>
      </c>
      <c r="M213" s="2">
        <v>40513.418749999997</v>
      </c>
      <c r="N213" s="1">
        <v>0.85</v>
      </c>
      <c r="O213" s="1">
        <v>12431</v>
      </c>
      <c r="P213" s="1" t="s">
        <v>188</v>
      </c>
      <c r="Q213" s="1"/>
    </row>
    <row r="214" spans="7:17" x14ac:dyDescent="0.25">
      <c r="G214" s="1" t="str">
        <f>TEXT(Table1[[#This Row],[InvoiceDate]],"H AM/PM")</f>
        <v>10 AM</v>
      </c>
      <c r="H214" s="1">
        <f t="shared" si="3"/>
        <v>17</v>
      </c>
      <c r="I214" s="1">
        <v>536390</v>
      </c>
      <c r="J214" s="1">
        <v>22941</v>
      </c>
      <c r="K214" s="1" t="s">
        <v>187</v>
      </c>
      <c r="L214" s="1">
        <v>2</v>
      </c>
      <c r="M214" s="2">
        <v>40513.429861111108</v>
      </c>
      <c r="N214" s="1">
        <v>8.5</v>
      </c>
      <c r="O214" s="1">
        <v>17511</v>
      </c>
      <c r="P214" s="1" t="s">
        <v>10</v>
      </c>
      <c r="Q214" s="1"/>
    </row>
    <row r="215" spans="7:17" x14ac:dyDescent="0.25">
      <c r="G215" s="1" t="str">
        <f>TEXT(Table1[[#This Row],[InvoiceDate]],"H AM/PM")</f>
        <v>10 AM</v>
      </c>
      <c r="H215" s="1">
        <f t="shared" si="3"/>
        <v>45</v>
      </c>
      <c r="I215" s="1">
        <v>536390</v>
      </c>
      <c r="J215" s="1">
        <v>22960</v>
      </c>
      <c r="K215" s="1" t="s">
        <v>34</v>
      </c>
      <c r="L215" s="1">
        <v>12</v>
      </c>
      <c r="M215" s="2">
        <v>40513.429861111108</v>
      </c>
      <c r="N215" s="1">
        <v>3.75</v>
      </c>
      <c r="O215" s="1">
        <v>17511</v>
      </c>
      <c r="P215" s="1" t="s">
        <v>10</v>
      </c>
      <c r="Q215" s="1"/>
    </row>
    <row r="216" spans="7:17" x14ac:dyDescent="0.25">
      <c r="G216" s="1" t="str">
        <f>TEXT(Table1[[#This Row],[InvoiceDate]],"H AM/PM")</f>
        <v>10 AM</v>
      </c>
      <c r="H216" s="1">
        <f t="shared" si="3"/>
        <v>17.399999999999999</v>
      </c>
      <c r="I216" s="1">
        <v>536390</v>
      </c>
      <c r="J216" s="1">
        <v>22961</v>
      </c>
      <c r="K216" s="1" t="s">
        <v>100</v>
      </c>
      <c r="L216" s="1">
        <v>12</v>
      </c>
      <c r="M216" s="2">
        <v>40513.429861111108</v>
      </c>
      <c r="N216" s="1">
        <v>1.45</v>
      </c>
      <c r="O216" s="1">
        <v>17511</v>
      </c>
      <c r="P216" s="1" t="s">
        <v>10</v>
      </c>
      <c r="Q216" s="1"/>
    </row>
    <row r="217" spans="7:17" x14ac:dyDescent="0.25">
      <c r="G217" s="1" t="str">
        <f>TEXT(Table1[[#This Row],[InvoiceDate]],"H AM/PM")</f>
        <v>10 AM</v>
      </c>
      <c r="H217" s="1">
        <f t="shared" si="3"/>
        <v>34.56</v>
      </c>
      <c r="I217" s="1">
        <v>536390</v>
      </c>
      <c r="J217" s="1">
        <v>22962</v>
      </c>
      <c r="K217" s="1" t="s">
        <v>201</v>
      </c>
      <c r="L217" s="1">
        <v>48</v>
      </c>
      <c r="M217" s="2">
        <v>40513.429861111108</v>
      </c>
      <c r="N217" s="1">
        <v>0.72</v>
      </c>
      <c r="O217" s="1">
        <v>17511</v>
      </c>
      <c r="P217" s="1" t="s">
        <v>10</v>
      </c>
      <c r="Q217" s="1"/>
    </row>
    <row r="218" spans="7:17" x14ac:dyDescent="0.25">
      <c r="G218" s="1" t="str">
        <f>TEXT(Table1[[#This Row],[InvoiceDate]],"H AM/PM")</f>
        <v>10 AM</v>
      </c>
      <c r="H218" s="1">
        <f t="shared" si="3"/>
        <v>34.56</v>
      </c>
      <c r="I218" s="1">
        <v>536390</v>
      </c>
      <c r="J218" s="1">
        <v>22963</v>
      </c>
      <c r="K218" s="1" t="s">
        <v>202</v>
      </c>
      <c r="L218" s="1">
        <v>48</v>
      </c>
      <c r="M218" s="2">
        <v>40513.429861111108</v>
      </c>
      <c r="N218" s="1">
        <v>0.72</v>
      </c>
      <c r="O218" s="1">
        <v>17511</v>
      </c>
      <c r="P218" s="1" t="s">
        <v>10</v>
      </c>
      <c r="Q218" s="1"/>
    </row>
    <row r="219" spans="7:17" x14ac:dyDescent="0.25">
      <c r="G219" s="1" t="str">
        <f>TEXT(Table1[[#This Row],[InvoiceDate]],"H AM/PM")</f>
        <v>10 AM</v>
      </c>
      <c r="H219" s="1">
        <f t="shared" si="3"/>
        <v>68</v>
      </c>
      <c r="I219" s="1">
        <v>536390</v>
      </c>
      <c r="J219" s="1">
        <v>22968</v>
      </c>
      <c r="K219" s="1" t="s">
        <v>203</v>
      </c>
      <c r="L219" s="1">
        <v>8</v>
      </c>
      <c r="M219" s="2">
        <v>40513.429861111108</v>
      </c>
      <c r="N219" s="1">
        <v>8.5</v>
      </c>
      <c r="O219" s="1">
        <v>17511</v>
      </c>
      <c r="P219" s="1" t="s">
        <v>10</v>
      </c>
      <c r="Q219" s="1"/>
    </row>
    <row r="220" spans="7:17" x14ac:dyDescent="0.25">
      <c r="G220" s="1" t="str">
        <f>TEXT(Table1[[#This Row],[InvoiceDate]],"H AM/PM")</f>
        <v>10 AM</v>
      </c>
      <c r="H220" s="1">
        <f t="shared" si="3"/>
        <v>92.16</v>
      </c>
      <c r="I220" s="1">
        <v>536390</v>
      </c>
      <c r="J220" s="1" t="s">
        <v>204</v>
      </c>
      <c r="K220" s="1" t="s">
        <v>205</v>
      </c>
      <c r="L220" s="1">
        <v>144</v>
      </c>
      <c r="M220" s="2">
        <v>40513.429861111108</v>
      </c>
      <c r="N220" s="1">
        <v>0.64</v>
      </c>
      <c r="O220" s="1">
        <v>17511</v>
      </c>
      <c r="P220" s="1" t="s">
        <v>10</v>
      </c>
      <c r="Q220" s="1"/>
    </row>
    <row r="221" spans="7:17" x14ac:dyDescent="0.25">
      <c r="G221" s="1" t="str">
        <f>TEXT(Table1[[#This Row],[InvoiceDate]],"H AM/PM")</f>
        <v>10 AM</v>
      </c>
      <c r="H221" s="1">
        <f t="shared" si="3"/>
        <v>102</v>
      </c>
      <c r="I221" s="1">
        <v>536390</v>
      </c>
      <c r="J221" s="1">
        <v>22910</v>
      </c>
      <c r="K221" s="1" t="s">
        <v>206</v>
      </c>
      <c r="L221" s="1">
        <v>40</v>
      </c>
      <c r="M221" s="2">
        <v>40513.429861111108</v>
      </c>
      <c r="N221" s="1">
        <v>2.5499999999999998</v>
      </c>
      <c r="O221" s="1">
        <v>17511</v>
      </c>
      <c r="P221" s="1" t="s">
        <v>10</v>
      </c>
      <c r="Q221" s="1"/>
    </row>
    <row r="222" spans="7:17" x14ac:dyDescent="0.25">
      <c r="G222" s="1" t="str">
        <f>TEXT(Table1[[#This Row],[InvoiceDate]],"H AM/PM")</f>
        <v>10 AM</v>
      </c>
      <c r="H222" s="1">
        <f t="shared" si="3"/>
        <v>28.8</v>
      </c>
      <c r="I222" s="1">
        <v>536390</v>
      </c>
      <c r="J222" s="1">
        <v>20668</v>
      </c>
      <c r="K222" s="1" t="s">
        <v>207</v>
      </c>
      <c r="L222" s="1">
        <v>288</v>
      </c>
      <c r="M222" s="2">
        <v>40513.429861111108</v>
      </c>
      <c r="N222" s="1">
        <v>0.1</v>
      </c>
      <c r="O222" s="1">
        <v>17511</v>
      </c>
      <c r="P222" s="1" t="s">
        <v>10</v>
      </c>
      <c r="Q222" s="1"/>
    </row>
    <row r="223" spans="7:17" x14ac:dyDescent="0.25">
      <c r="G223" s="1" t="str">
        <f>TEXT(Table1[[#This Row],[InvoiceDate]],"H AM/PM")</f>
        <v>10 AM</v>
      </c>
      <c r="H223" s="1">
        <f t="shared" si="3"/>
        <v>163.19999999999999</v>
      </c>
      <c r="I223" s="1">
        <v>536390</v>
      </c>
      <c r="J223" s="1" t="s">
        <v>8</v>
      </c>
      <c r="K223" s="1" t="s">
        <v>9</v>
      </c>
      <c r="L223" s="1">
        <v>64</v>
      </c>
      <c r="M223" s="2">
        <v>40513.429861111108</v>
      </c>
      <c r="N223" s="1">
        <v>2.5499999999999998</v>
      </c>
      <c r="O223" s="1">
        <v>17511</v>
      </c>
      <c r="P223" s="1" t="s">
        <v>10</v>
      </c>
      <c r="Q223" s="1"/>
    </row>
    <row r="224" spans="7:17" x14ac:dyDescent="0.25">
      <c r="G224" s="1" t="str">
        <f>TEXT(Table1[[#This Row],[InvoiceDate]],"H AM/PM")</f>
        <v>10 AM</v>
      </c>
      <c r="H224" s="1">
        <f t="shared" si="3"/>
        <v>72</v>
      </c>
      <c r="I224" s="1">
        <v>536390</v>
      </c>
      <c r="J224" s="1">
        <v>22197</v>
      </c>
      <c r="K224" s="1" t="s">
        <v>208</v>
      </c>
      <c r="L224" s="1">
        <v>100</v>
      </c>
      <c r="M224" s="2">
        <v>40513.429861111108</v>
      </c>
      <c r="N224" s="1">
        <v>0.72</v>
      </c>
      <c r="O224" s="1">
        <v>17511</v>
      </c>
      <c r="P224" s="1" t="s">
        <v>10</v>
      </c>
      <c r="Q224" s="1"/>
    </row>
    <row r="225" spans="7:17" x14ac:dyDescent="0.25">
      <c r="G225" s="1" t="str">
        <f>TEXT(Table1[[#This Row],[InvoiceDate]],"H AM/PM")</f>
        <v>10 AM</v>
      </c>
      <c r="H225" s="1">
        <f t="shared" si="3"/>
        <v>72.5</v>
      </c>
      <c r="I225" s="1">
        <v>536390</v>
      </c>
      <c r="J225" s="1">
        <v>22198</v>
      </c>
      <c r="K225" s="1" t="s">
        <v>209</v>
      </c>
      <c r="L225" s="1">
        <v>50</v>
      </c>
      <c r="M225" s="2">
        <v>40513.429861111108</v>
      </c>
      <c r="N225" s="1">
        <v>1.45</v>
      </c>
      <c r="O225" s="1">
        <v>17511</v>
      </c>
      <c r="P225" s="1" t="s">
        <v>10</v>
      </c>
      <c r="Q225" s="1"/>
    </row>
    <row r="226" spans="7:17" x14ac:dyDescent="0.25">
      <c r="G226" s="1" t="str">
        <f>TEXT(Table1[[#This Row],[InvoiceDate]],"H AM/PM")</f>
        <v>10 AM</v>
      </c>
      <c r="H226" s="1">
        <f t="shared" si="3"/>
        <v>51</v>
      </c>
      <c r="I226" s="1">
        <v>536390</v>
      </c>
      <c r="J226" s="1">
        <v>21533</v>
      </c>
      <c r="K226" s="1" t="s">
        <v>126</v>
      </c>
      <c r="L226" s="1">
        <v>12</v>
      </c>
      <c r="M226" s="2">
        <v>40513.429861111108</v>
      </c>
      <c r="N226" s="1">
        <v>4.25</v>
      </c>
      <c r="O226" s="1">
        <v>17511</v>
      </c>
      <c r="P226" s="1" t="s">
        <v>10</v>
      </c>
      <c r="Q226" s="1"/>
    </row>
    <row r="227" spans="7:17" x14ac:dyDescent="0.25">
      <c r="G227" s="1" t="str">
        <f>TEXT(Table1[[#This Row],[InvoiceDate]],"H AM/PM")</f>
        <v>10 AM</v>
      </c>
      <c r="H227" s="1">
        <f t="shared" si="3"/>
        <v>61.44</v>
      </c>
      <c r="I227" s="1">
        <v>536390</v>
      </c>
      <c r="J227" s="1">
        <v>21080</v>
      </c>
      <c r="K227" s="1" t="s">
        <v>210</v>
      </c>
      <c r="L227" s="1">
        <v>96</v>
      </c>
      <c r="M227" s="2">
        <v>40513.429861111108</v>
      </c>
      <c r="N227" s="1">
        <v>0.64</v>
      </c>
      <c r="O227" s="1">
        <v>17511</v>
      </c>
      <c r="P227" s="1" t="s">
        <v>10</v>
      </c>
      <c r="Q227" s="1"/>
    </row>
    <row r="228" spans="7:17" x14ac:dyDescent="0.25">
      <c r="G228" s="1" t="str">
        <f>TEXT(Table1[[#This Row],[InvoiceDate]],"H AM/PM")</f>
        <v>10 AM</v>
      </c>
      <c r="H228" s="1">
        <f t="shared" si="3"/>
        <v>61.44</v>
      </c>
      <c r="I228" s="1">
        <v>536390</v>
      </c>
      <c r="J228" s="1">
        <v>21094</v>
      </c>
      <c r="K228" s="1" t="s">
        <v>84</v>
      </c>
      <c r="L228" s="1">
        <v>96</v>
      </c>
      <c r="M228" s="2">
        <v>40513.429861111108</v>
      </c>
      <c r="N228" s="1">
        <v>0.64</v>
      </c>
      <c r="O228" s="1">
        <v>17511</v>
      </c>
      <c r="P228" s="1" t="s">
        <v>10</v>
      </c>
      <c r="Q228" s="1"/>
    </row>
    <row r="229" spans="7:17" x14ac:dyDescent="0.25">
      <c r="G229" s="1" t="str">
        <f>TEXT(Table1[[#This Row],[InvoiceDate]],"H AM/PM")</f>
        <v>10 AM</v>
      </c>
      <c r="H229" s="1">
        <f t="shared" si="3"/>
        <v>31.200000000000003</v>
      </c>
      <c r="I229" s="1">
        <v>536390</v>
      </c>
      <c r="J229" s="1">
        <v>21086</v>
      </c>
      <c r="K229" s="1" t="s">
        <v>211</v>
      </c>
      <c r="L229" s="1">
        <v>48</v>
      </c>
      <c r="M229" s="2">
        <v>40513.429861111108</v>
      </c>
      <c r="N229" s="1">
        <v>0.65</v>
      </c>
      <c r="O229" s="1">
        <v>17511</v>
      </c>
      <c r="P229" s="1" t="s">
        <v>10</v>
      </c>
      <c r="Q229" s="1"/>
    </row>
    <row r="230" spans="7:17" x14ac:dyDescent="0.25">
      <c r="G230" s="1" t="str">
        <f>TEXT(Table1[[#This Row],[InvoiceDate]],"H AM/PM")</f>
        <v>10 AM</v>
      </c>
      <c r="H230" s="1">
        <f t="shared" si="3"/>
        <v>46.08</v>
      </c>
      <c r="I230" s="1">
        <v>536390</v>
      </c>
      <c r="J230" s="1">
        <v>21786</v>
      </c>
      <c r="K230" s="1" t="s">
        <v>212</v>
      </c>
      <c r="L230" s="1">
        <v>144</v>
      </c>
      <c r="M230" s="2">
        <v>40513.429861111108</v>
      </c>
      <c r="N230" s="1">
        <v>0.32</v>
      </c>
      <c r="O230" s="1">
        <v>17511</v>
      </c>
      <c r="P230" s="1" t="s">
        <v>10</v>
      </c>
      <c r="Q230" s="1"/>
    </row>
    <row r="231" spans="7:17" x14ac:dyDescent="0.25">
      <c r="G231" s="1" t="str">
        <f>TEXT(Table1[[#This Row],[InvoiceDate]],"H AM/PM")</f>
        <v>10 AM</v>
      </c>
      <c r="H231" s="1">
        <f t="shared" si="3"/>
        <v>198</v>
      </c>
      <c r="I231" s="1">
        <v>536390</v>
      </c>
      <c r="J231" s="1">
        <v>22654</v>
      </c>
      <c r="K231" s="1" t="s">
        <v>213</v>
      </c>
      <c r="L231" s="1">
        <v>40</v>
      </c>
      <c r="M231" s="2">
        <v>40513.429861111108</v>
      </c>
      <c r="N231" s="1">
        <v>4.95</v>
      </c>
      <c r="O231" s="1">
        <v>17511</v>
      </c>
      <c r="P231" s="1" t="s">
        <v>10</v>
      </c>
      <c r="Q231" s="1"/>
    </row>
    <row r="232" spans="7:17" x14ac:dyDescent="0.25">
      <c r="G232" s="1" t="str">
        <f>TEXT(Table1[[#This Row],[InvoiceDate]],"H AM/PM")</f>
        <v>10 AM</v>
      </c>
      <c r="H232" s="1">
        <f t="shared" si="3"/>
        <v>102</v>
      </c>
      <c r="I232" s="1">
        <v>536390</v>
      </c>
      <c r="J232" s="1">
        <v>21485</v>
      </c>
      <c r="K232" s="1" t="s">
        <v>214</v>
      </c>
      <c r="L232" s="1">
        <v>24</v>
      </c>
      <c r="M232" s="2">
        <v>40513.429861111108</v>
      </c>
      <c r="N232" s="1">
        <v>4.25</v>
      </c>
      <c r="O232" s="1">
        <v>17511</v>
      </c>
      <c r="P232" s="1" t="s">
        <v>10</v>
      </c>
      <c r="Q232" s="1"/>
    </row>
    <row r="233" spans="7:17" x14ac:dyDescent="0.25">
      <c r="G233" s="1" t="str">
        <f>TEXT(Table1[[#This Row],[InvoiceDate]],"H AM/PM")</f>
        <v>10 AM</v>
      </c>
      <c r="H233" s="1">
        <f t="shared" si="3"/>
        <v>81.36</v>
      </c>
      <c r="I233" s="1">
        <v>536390</v>
      </c>
      <c r="J233" s="1" t="s">
        <v>14</v>
      </c>
      <c r="K233" s="1" t="s">
        <v>15</v>
      </c>
      <c r="L233" s="1">
        <v>24</v>
      </c>
      <c r="M233" s="2">
        <v>40513.429861111108</v>
      </c>
      <c r="N233" s="1">
        <v>3.39</v>
      </c>
      <c r="O233" s="1">
        <v>17511</v>
      </c>
      <c r="P233" s="1" t="s">
        <v>10</v>
      </c>
      <c r="Q233" s="1"/>
    </row>
    <row r="234" spans="7:17" x14ac:dyDescent="0.25">
      <c r="G234" s="1" t="str">
        <f>TEXT(Table1[[#This Row],[InvoiceDate]],"H AM/PM")</f>
        <v>10 AM</v>
      </c>
      <c r="H234" s="1">
        <f t="shared" si="3"/>
        <v>90</v>
      </c>
      <c r="I234" s="1">
        <v>536390</v>
      </c>
      <c r="J234" s="1" t="s">
        <v>215</v>
      </c>
      <c r="K234" s="1" t="s">
        <v>216</v>
      </c>
      <c r="L234" s="1">
        <v>24</v>
      </c>
      <c r="M234" s="2">
        <v>40513.429861111108</v>
      </c>
      <c r="N234" s="1">
        <v>3.75</v>
      </c>
      <c r="O234" s="1">
        <v>17511</v>
      </c>
      <c r="P234" s="1" t="s">
        <v>10</v>
      </c>
      <c r="Q234" s="1"/>
    </row>
    <row r="235" spans="7:17" x14ac:dyDescent="0.25">
      <c r="G235" s="1" t="str">
        <f>TEXT(Table1[[#This Row],[InvoiceDate]],"H AM/PM")</f>
        <v>10 AM</v>
      </c>
      <c r="H235" s="1">
        <f t="shared" si="3"/>
        <v>71.039999999999992</v>
      </c>
      <c r="I235" s="1">
        <v>536390</v>
      </c>
      <c r="J235" s="1">
        <v>22174</v>
      </c>
      <c r="K235" s="1" t="s">
        <v>217</v>
      </c>
      <c r="L235" s="1">
        <v>48</v>
      </c>
      <c r="M235" s="2">
        <v>40513.429861111108</v>
      </c>
      <c r="N235" s="1">
        <v>1.48</v>
      </c>
      <c r="O235" s="1">
        <v>17511</v>
      </c>
      <c r="P235" s="1" t="s">
        <v>10</v>
      </c>
      <c r="Q235" s="1"/>
    </row>
    <row r="236" spans="7:17" x14ac:dyDescent="0.25">
      <c r="G236" s="1" t="str">
        <f>TEXT(Table1[[#This Row],[InvoiceDate]],"H AM/PM")</f>
        <v>10 AM</v>
      </c>
      <c r="H236" s="1">
        <f t="shared" si="3"/>
        <v>120</v>
      </c>
      <c r="I236" s="1">
        <v>536390</v>
      </c>
      <c r="J236" s="1">
        <v>22969</v>
      </c>
      <c r="K236" s="1" t="s">
        <v>183</v>
      </c>
      <c r="L236" s="1">
        <v>96</v>
      </c>
      <c r="M236" s="2">
        <v>40513.429861111108</v>
      </c>
      <c r="N236" s="1">
        <v>1.25</v>
      </c>
      <c r="O236" s="1">
        <v>17511</v>
      </c>
      <c r="P236" s="1" t="s">
        <v>10</v>
      </c>
      <c r="Q236" s="1"/>
    </row>
    <row r="237" spans="7:17" x14ac:dyDescent="0.25">
      <c r="G237" s="1" t="str">
        <f>TEXT(Table1[[#This Row],[InvoiceDate]],"H AM/PM")</f>
        <v>10 AM</v>
      </c>
      <c r="H237" s="1">
        <f t="shared" si="3"/>
        <v>165</v>
      </c>
      <c r="I237" s="1">
        <v>536390</v>
      </c>
      <c r="J237" s="1" t="s">
        <v>172</v>
      </c>
      <c r="K237" s="1" t="s">
        <v>173</v>
      </c>
      <c r="L237" s="1">
        <v>100</v>
      </c>
      <c r="M237" s="2">
        <v>40513.429861111108</v>
      </c>
      <c r="N237" s="1">
        <v>1.65</v>
      </c>
      <c r="O237" s="1">
        <v>17511</v>
      </c>
      <c r="P237" s="1" t="s">
        <v>10</v>
      </c>
      <c r="Q237" s="1"/>
    </row>
    <row r="238" spans="7:17" x14ac:dyDescent="0.25">
      <c r="G238" s="1" t="str">
        <f>TEXT(Table1[[#This Row],[InvoiceDate]],"H AM/PM")</f>
        <v>10 AM</v>
      </c>
      <c r="H238" s="1">
        <f t="shared" si="3"/>
        <v>-19.799999999999997</v>
      </c>
      <c r="I238" s="1" t="s">
        <v>218</v>
      </c>
      <c r="J238" s="1">
        <v>22556</v>
      </c>
      <c r="K238" s="1" t="s">
        <v>219</v>
      </c>
      <c r="L238" s="1">
        <v>-12</v>
      </c>
      <c r="M238" s="2">
        <v>40513.433333333334</v>
      </c>
      <c r="N238" s="1">
        <v>1.65</v>
      </c>
      <c r="O238" s="1">
        <v>17548</v>
      </c>
      <c r="P238" s="1" t="s">
        <v>10</v>
      </c>
      <c r="Q238" s="1"/>
    </row>
    <row r="239" spans="7:17" x14ac:dyDescent="0.25">
      <c r="G239" s="1" t="str">
        <f>TEXT(Table1[[#This Row],[InvoiceDate]],"H AM/PM")</f>
        <v>10 AM</v>
      </c>
      <c r="H239" s="1">
        <f t="shared" si="3"/>
        <v>-6.9599999999999991</v>
      </c>
      <c r="I239" s="1" t="s">
        <v>218</v>
      </c>
      <c r="J239" s="1">
        <v>21984</v>
      </c>
      <c r="K239" s="1" t="s">
        <v>220</v>
      </c>
      <c r="L239" s="1">
        <v>-24</v>
      </c>
      <c r="M239" s="2">
        <v>40513.433333333334</v>
      </c>
      <c r="N239" s="1">
        <v>0.28999999999999998</v>
      </c>
      <c r="O239" s="1">
        <v>17548</v>
      </c>
      <c r="P239" s="1" t="s">
        <v>10</v>
      </c>
      <c r="Q239" s="1"/>
    </row>
    <row r="240" spans="7:17" x14ac:dyDescent="0.25">
      <c r="G240" s="1" t="str">
        <f>TEXT(Table1[[#This Row],[InvoiceDate]],"H AM/PM")</f>
        <v>10 AM</v>
      </c>
      <c r="H240" s="1">
        <f t="shared" si="3"/>
        <v>-6.9599999999999991</v>
      </c>
      <c r="I240" s="1" t="s">
        <v>218</v>
      </c>
      <c r="J240" s="1">
        <v>21983</v>
      </c>
      <c r="K240" s="1" t="s">
        <v>221</v>
      </c>
      <c r="L240" s="1">
        <v>-24</v>
      </c>
      <c r="M240" s="2">
        <v>40513.433333333334</v>
      </c>
      <c r="N240" s="1">
        <v>0.28999999999999998</v>
      </c>
      <c r="O240" s="1">
        <v>17548</v>
      </c>
      <c r="P240" s="1" t="s">
        <v>10</v>
      </c>
      <c r="Q240" s="1"/>
    </row>
    <row r="241" spans="7:17" x14ac:dyDescent="0.25">
      <c r="G241" s="1" t="str">
        <f>TEXT(Table1[[#This Row],[InvoiceDate]],"H AM/PM")</f>
        <v>10 AM</v>
      </c>
      <c r="H241" s="1">
        <f t="shared" si="3"/>
        <v>-6.9599999999999991</v>
      </c>
      <c r="I241" s="1" t="s">
        <v>218</v>
      </c>
      <c r="J241" s="1">
        <v>21980</v>
      </c>
      <c r="K241" s="1" t="s">
        <v>222</v>
      </c>
      <c r="L241" s="1">
        <v>-24</v>
      </c>
      <c r="M241" s="2">
        <v>40513.433333333334</v>
      </c>
      <c r="N241" s="1">
        <v>0.28999999999999998</v>
      </c>
      <c r="O241" s="1">
        <v>17548</v>
      </c>
      <c r="P241" s="1" t="s">
        <v>10</v>
      </c>
      <c r="Q241" s="1"/>
    </row>
    <row r="242" spans="7:17" x14ac:dyDescent="0.25">
      <c r="G242" s="1" t="str">
        <f>TEXT(Table1[[#This Row],[InvoiceDate]],"H AM/PM")</f>
        <v>10 AM</v>
      </c>
      <c r="H242" s="1">
        <f t="shared" si="3"/>
        <v>-41.400000000000006</v>
      </c>
      <c r="I242" s="1" t="s">
        <v>218</v>
      </c>
      <c r="J242" s="1">
        <v>21484</v>
      </c>
      <c r="K242" s="1" t="s">
        <v>223</v>
      </c>
      <c r="L242" s="1">
        <v>-12</v>
      </c>
      <c r="M242" s="2">
        <v>40513.433333333334</v>
      </c>
      <c r="N242" s="1">
        <v>3.45</v>
      </c>
      <c r="O242" s="1">
        <v>17548</v>
      </c>
      <c r="P242" s="1" t="s">
        <v>10</v>
      </c>
      <c r="Q242" s="1"/>
    </row>
    <row r="243" spans="7:17" x14ac:dyDescent="0.25">
      <c r="G243" s="1" t="str">
        <f>TEXT(Table1[[#This Row],[InvoiceDate]],"H AM/PM")</f>
        <v>10 AM</v>
      </c>
      <c r="H243" s="1">
        <f t="shared" si="3"/>
        <v>-19.799999999999997</v>
      </c>
      <c r="I243" s="1" t="s">
        <v>218</v>
      </c>
      <c r="J243" s="1">
        <v>22557</v>
      </c>
      <c r="K243" s="1" t="s">
        <v>224</v>
      </c>
      <c r="L243" s="1">
        <v>-12</v>
      </c>
      <c r="M243" s="2">
        <v>40513.433333333334</v>
      </c>
      <c r="N243" s="1">
        <v>1.65</v>
      </c>
      <c r="O243" s="1">
        <v>17548</v>
      </c>
      <c r="P243" s="1" t="s">
        <v>10</v>
      </c>
      <c r="Q243" s="1"/>
    </row>
    <row r="244" spans="7:17" x14ac:dyDescent="0.25">
      <c r="G244" s="1" t="str">
        <f>TEXT(Table1[[#This Row],[InvoiceDate]],"H AM/PM")</f>
        <v>10 AM</v>
      </c>
      <c r="H244" s="1">
        <f t="shared" si="3"/>
        <v>-39.599999999999994</v>
      </c>
      <c r="I244" s="1" t="s">
        <v>218</v>
      </c>
      <c r="J244" s="1">
        <v>22553</v>
      </c>
      <c r="K244" s="1" t="s">
        <v>225</v>
      </c>
      <c r="L244" s="1">
        <v>-24</v>
      </c>
      <c r="M244" s="2">
        <v>40513.433333333334</v>
      </c>
      <c r="N244" s="1">
        <v>1.65</v>
      </c>
      <c r="O244" s="1">
        <v>17548</v>
      </c>
      <c r="P244" s="1" t="s">
        <v>10</v>
      </c>
      <c r="Q244" s="1"/>
    </row>
    <row r="245" spans="7:17" x14ac:dyDescent="0.25">
      <c r="G245" s="1" t="str">
        <f>TEXT(Table1[[#This Row],[InvoiceDate]],"H AM/PM")</f>
        <v>10 AM</v>
      </c>
      <c r="H245" s="1">
        <f t="shared" si="3"/>
        <v>11.7</v>
      </c>
      <c r="I245" s="1">
        <v>536392</v>
      </c>
      <c r="J245" s="1">
        <v>22150</v>
      </c>
      <c r="K245" s="1" t="s">
        <v>226</v>
      </c>
      <c r="L245" s="1">
        <v>6</v>
      </c>
      <c r="M245" s="2">
        <v>40513.436805555553</v>
      </c>
      <c r="N245" s="1">
        <v>1.95</v>
      </c>
      <c r="O245" s="1">
        <v>13705</v>
      </c>
      <c r="P245" s="1" t="s">
        <v>10</v>
      </c>
      <c r="Q245" s="1"/>
    </row>
    <row r="246" spans="7:17" x14ac:dyDescent="0.25">
      <c r="G246" s="1" t="str">
        <f>TEXT(Table1[[#This Row],[InvoiceDate]],"H AM/PM")</f>
        <v>10 AM</v>
      </c>
      <c r="H246" s="1">
        <f t="shared" si="3"/>
        <v>15</v>
      </c>
      <c r="I246" s="1">
        <v>536392</v>
      </c>
      <c r="J246" s="1">
        <v>22619</v>
      </c>
      <c r="K246" s="1" t="s">
        <v>227</v>
      </c>
      <c r="L246" s="1">
        <v>4</v>
      </c>
      <c r="M246" s="2">
        <v>40513.436805555553</v>
      </c>
      <c r="N246" s="1">
        <v>3.75</v>
      </c>
      <c r="O246" s="1">
        <v>13705</v>
      </c>
      <c r="P246" s="1" t="s">
        <v>10</v>
      </c>
      <c r="Q246" s="1"/>
    </row>
    <row r="247" spans="7:17" x14ac:dyDescent="0.25">
      <c r="G247" s="1" t="str">
        <f>TEXT(Table1[[#This Row],[InvoiceDate]],"H AM/PM")</f>
        <v>10 AM</v>
      </c>
      <c r="H247" s="1">
        <f t="shared" si="3"/>
        <v>15</v>
      </c>
      <c r="I247" s="1">
        <v>536392</v>
      </c>
      <c r="J247" s="1">
        <v>21891</v>
      </c>
      <c r="K247" s="1" t="s">
        <v>228</v>
      </c>
      <c r="L247" s="1">
        <v>12</v>
      </c>
      <c r="M247" s="2">
        <v>40513.436805555553</v>
      </c>
      <c r="N247" s="1">
        <v>1.25</v>
      </c>
      <c r="O247" s="1">
        <v>13705</v>
      </c>
      <c r="P247" s="1" t="s">
        <v>10</v>
      </c>
      <c r="Q247" s="1"/>
    </row>
    <row r="248" spans="7:17" x14ac:dyDescent="0.25">
      <c r="G248" s="1" t="str">
        <f>TEXT(Table1[[#This Row],[InvoiceDate]],"H AM/PM")</f>
        <v>10 AM</v>
      </c>
      <c r="H248" s="1">
        <f t="shared" si="3"/>
        <v>15</v>
      </c>
      <c r="I248" s="1">
        <v>536392</v>
      </c>
      <c r="J248" s="1">
        <v>21889</v>
      </c>
      <c r="K248" s="1" t="s">
        <v>229</v>
      </c>
      <c r="L248" s="1">
        <v>12</v>
      </c>
      <c r="M248" s="2">
        <v>40513.436805555553</v>
      </c>
      <c r="N248" s="1">
        <v>1.25</v>
      </c>
      <c r="O248" s="1">
        <v>13705</v>
      </c>
      <c r="P248" s="1" t="s">
        <v>10</v>
      </c>
      <c r="Q248" s="1"/>
    </row>
    <row r="249" spans="7:17" x14ac:dyDescent="0.25">
      <c r="G249" s="1" t="str">
        <f>TEXT(Table1[[#This Row],[InvoiceDate]],"H AM/PM")</f>
        <v>10 AM</v>
      </c>
      <c r="H249" s="1">
        <f t="shared" si="3"/>
        <v>165</v>
      </c>
      <c r="I249" s="1">
        <v>536392</v>
      </c>
      <c r="J249" s="1">
        <v>22827</v>
      </c>
      <c r="K249" s="1" t="s">
        <v>230</v>
      </c>
      <c r="L249" s="1">
        <v>1</v>
      </c>
      <c r="M249" s="2">
        <v>40513.436805555553</v>
      </c>
      <c r="N249" s="1">
        <v>165</v>
      </c>
      <c r="O249" s="1">
        <v>13705</v>
      </c>
      <c r="P249" s="1" t="s">
        <v>10</v>
      </c>
      <c r="Q249" s="1"/>
    </row>
    <row r="250" spans="7:17" x14ac:dyDescent="0.25">
      <c r="G250" s="1" t="str">
        <f>TEXT(Table1[[#This Row],[InvoiceDate]],"H AM/PM")</f>
        <v>10 AM</v>
      </c>
      <c r="H250" s="1">
        <f t="shared" si="3"/>
        <v>15</v>
      </c>
      <c r="I250" s="1">
        <v>536392</v>
      </c>
      <c r="J250" s="1">
        <v>22127</v>
      </c>
      <c r="K250" s="1" t="s">
        <v>231</v>
      </c>
      <c r="L250" s="1">
        <v>12</v>
      </c>
      <c r="M250" s="2">
        <v>40513.436805555553</v>
      </c>
      <c r="N250" s="1">
        <v>1.25</v>
      </c>
      <c r="O250" s="1">
        <v>13705</v>
      </c>
      <c r="P250" s="1" t="s">
        <v>10</v>
      </c>
      <c r="Q250" s="1"/>
    </row>
    <row r="251" spans="7:17" x14ac:dyDescent="0.25">
      <c r="G251" s="1" t="str">
        <f>TEXT(Table1[[#This Row],[InvoiceDate]],"H AM/PM")</f>
        <v>10 AM</v>
      </c>
      <c r="H251" s="1">
        <f t="shared" si="3"/>
        <v>15</v>
      </c>
      <c r="I251" s="1">
        <v>536392</v>
      </c>
      <c r="J251" s="1">
        <v>22128</v>
      </c>
      <c r="K251" s="1" t="s">
        <v>232</v>
      </c>
      <c r="L251" s="1">
        <v>12</v>
      </c>
      <c r="M251" s="2">
        <v>40513.436805555553</v>
      </c>
      <c r="N251" s="1">
        <v>1.25</v>
      </c>
      <c r="O251" s="1">
        <v>13705</v>
      </c>
      <c r="P251" s="1" t="s">
        <v>10</v>
      </c>
      <c r="Q251" s="1"/>
    </row>
    <row r="252" spans="7:17" x14ac:dyDescent="0.25">
      <c r="G252" s="1" t="str">
        <f>TEXT(Table1[[#This Row],[InvoiceDate]],"H AM/PM")</f>
        <v>10 AM</v>
      </c>
      <c r="H252" s="1">
        <f t="shared" si="3"/>
        <v>23.8</v>
      </c>
      <c r="I252" s="1">
        <v>536392</v>
      </c>
      <c r="J252" s="1">
        <v>22502</v>
      </c>
      <c r="K252" s="1" t="s">
        <v>233</v>
      </c>
      <c r="L252" s="1">
        <v>4</v>
      </c>
      <c r="M252" s="2">
        <v>40513.436805555553</v>
      </c>
      <c r="N252" s="1">
        <v>5.95</v>
      </c>
      <c r="O252" s="1">
        <v>13705</v>
      </c>
      <c r="P252" s="1" t="s">
        <v>10</v>
      </c>
      <c r="Q252" s="1"/>
    </row>
    <row r="253" spans="7:17" x14ac:dyDescent="0.25">
      <c r="G253" s="1" t="str">
        <f>TEXT(Table1[[#This Row],[InvoiceDate]],"H AM/PM")</f>
        <v>10 AM</v>
      </c>
      <c r="H253" s="1">
        <f t="shared" si="3"/>
        <v>27.04</v>
      </c>
      <c r="I253" s="1">
        <v>536392</v>
      </c>
      <c r="J253" s="1">
        <v>84879</v>
      </c>
      <c r="K253" s="1" t="s">
        <v>22</v>
      </c>
      <c r="L253" s="1">
        <v>16</v>
      </c>
      <c r="M253" s="2">
        <v>40513.436805555553</v>
      </c>
      <c r="N253" s="1">
        <v>1.69</v>
      </c>
      <c r="O253" s="1">
        <v>13705</v>
      </c>
      <c r="P253" s="1" t="s">
        <v>10</v>
      </c>
      <c r="Q253" s="1"/>
    </row>
    <row r="254" spans="7:17" x14ac:dyDescent="0.25">
      <c r="G254" s="1" t="str">
        <f>TEXT(Table1[[#This Row],[InvoiceDate]],"H AM/PM")</f>
        <v>10 AM</v>
      </c>
      <c r="H254" s="1">
        <f t="shared" si="3"/>
        <v>15.600000000000001</v>
      </c>
      <c r="I254" s="1">
        <v>536392</v>
      </c>
      <c r="J254" s="1">
        <v>22338</v>
      </c>
      <c r="K254" s="1" t="s">
        <v>234</v>
      </c>
      <c r="L254" s="1">
        <v>24</v>
      </c>
      <c r="M254" s="2">
        <v>40513.436805555553</v>
      </c>
      <c r="N254" s="1">
        <v>0.65</v>
      </c>
      <c r="O254" s="1">
        <v>13705</v>
      </c>
      <c r="P254" s="1" t="s">
        <v>10</v>
      </c>
      <c r="Q254" s="1"/>
    </row>
    <row r="255" spans="7:17" x14ac:dyDescent="0.25">
      <c r="G255" s="1" t="str">
        <f>TEXT(Table1[[#This Row],[InvoiceDate]],"H AM/PM")</f>
        <v>10 AM</v>
      </c>
      <c r="H255" s="1">
        <f t="shared" si="3"/>
        <v>79.599999999999994</v>
      </c>
      <c r="I255" s="1">
        <v>536393</v>
      </c>
      <c r="J255" s="1">
        <v>22180</v>
      </c>
      <c r="K255" s="1" t="s">
        <v>235</v>
      </c>
      <c r="L255" s="1">
        <v>8</v>
      </c>
      <c r="M255" s="2">
        <v>40513.442361111112</v>
      </c>
      <c r="N255" s="1">
        <v>9.9499999999999993</v>
      </c>
      <c r="O255" s="1">
        <v>13747</v>
      </c>
      <c r="P255" s="1" t="s">
        <v>10</v>
      </c>
      <c r="Q255" s="1"/>
    </row>
    <row r="256" spans="7:17" x14ac:dyDescent="0.25">
      <c r="G256" s="1" t="str">
        <f>TEXT(Table1[[#This Row],[InvoiceDate]],"H AM/PM")</f>
        <v>10 AM</v>
      </c>
      <c r="H256" s="1">
        <f t="shared" si="3"/>
        <v>10.08</v>
      </c>
      <c r="I256" s="1">
        <v>536394</v>
      </c>
      <c r="J256" s="1">
        <v>21506</v>
      </c>
      <c r="K256" s="1" t="s">
        <v>236</v>
      </c>
      <c r="L256" s="1">
        <v>24</v>
      </c>
      <c r="M256" s="2">
        <v>40513.443749999999</v>
      </c>
      <c r="N256" s="1">
        <v>0.42</v>
      </c>
      <c r="O256" s="1">
        <v>13408</v>
      </c>
      <c r="P256" s="1" t="s">
        <v>10</v>
      </c>
      <c r="Q256" s="1"/>
    </row>
    <row r="257" spans="7:17" x14ac:dyDescent="0.25">
      <c r="G257" s="1" t="str">
        <f>TEXT(Table1[[#This Row],[InvoiceDate]],"H AM/PM")</f>
        <v>10 AM</v>
      </c>
      <c r="H257" s="1">
        <f t="shared" si="3"/>
        <v>177.60000000000002</v>
      </c>
      <c r="I257" s="1">
        <v>536394</v>
      </c>
      <c r="J257" s="1">
        <v>22633</v>
      </c>
      <c r="K257" s="1" t="s">
        <v>20</v>
      </c>
      <c r="L257" s="1">
        <v>96</v>
      </c>
      <c r="M257" s="2">
        <v>40513.443749999999</v>
      </c>
      <c r="N257" s="1">
        <v>1.85</v>
      </c>
      <c r="O257" s="1">
        <v>13408</v>
      </c>
      <c r="P257" s="1" t="s">
        <v>10</v>
      </c>
      <c r="Q257" s="1"/>
    </row>
    <row r="258" spans="7:17" x14ac:dyDescent="0.25">
      <c r="G258" s="1" t="str">
        <f>TEXT(Table1[[#This Row],[InvoiceDate]],"H AM/PM")</f>
        <v>10 AM</v>
      </c>
      <c r="H258" s="1">
        <f t="shared" si="3"/>
        <v>177.60000000000002</v>
      </c>
      <c r="I258" s="1">
        <v>536394</v>
      </c>
      <c r="J258" s="1">
        <v>22866</v>
      </c>
      <c r="K258" s="1" t="s">
        <v>237</v>
      </c>
      <c r="L258" s="1">
        <v>96</v>
      </c>
      <c r="M258" s="2">
        <v>40513.443749999999</v>
      </c>
      <c r="N258" s="1">
        <v>1.85</v>
      </c>
      <c r="O258" s="1">
        <v>13408</v>
      </c>
      <c r="P258" s="1" t="s">
        <v>10</v>
      </c>
      <c r="Q258" s="1"/>
    </row>
    <row r="259" spans="7:17" x14ac:dyDescent="0.25">
      <c r="G259" s="1" t="str">
        <f>TEXT(Table1[[#This Row],[InvoiceDate]],"H AM/PM")</f>
        <v>10 AM</v>
      </c>
      <c r="H259" s="1">
        <f t="shared" ref="H259:H306" si="4">N259*L259</f>
        <v>177.60000000000002</v>
      </c>
      <c r="I259" s="1">
        <v>536394</v>
      </c>
      <c r="J259" s="1">
        <v>22865</v>
      </c>
      <c r="K259" s="1" t="s">
        <v>238</v>
      </c>
      <c r="L259" s="1">
        <v>96</v>
      </c>
      <c r="M259" s="2">
        <v>40513.443749999999</v>
      </c>
      <c r="N259" s="1">
        <v>1.85</v>
      </c>
      <c r="O259" s="1">
        <v>13408</v>
      </c>
      <c r="P259" s="1" t="s">
        <v>10</v>
      </c>
      <c r="Q259" s="1"/>
    </row>
    <row r="260" spans="7:17" x14ac:dyDescent="0.25">
      <c r="G260" s="1" t="str">
        <f>TEXT(Table1[[#This Row],[InvoiceDate]],"H AM/PM")</f>
        <v>10 AM</v>
      </c>
      <c r="H260" s="1">
        <f t="shared" si="4"/>
        <v>177.60000000000002</v>
      </c>
      <c r="I260" s="1">
        <v>536394</v>
      </c>
      <c r="J260" s="1">
        <v>22632</v>
      </c>
      <c r="K260" s="1" t="s">
        <v>239</v>
      </c>
      <c r="L260" s="1">
        <v>96</v>
      </c>
      <c r="M260" s="2">
        <v>40513.443749999999</v>
      </c>
      <c r="N260" s="1">
        <v>1.85</v>
      </c>
      <c r="O260" s="1">
        <v>13408</v>
      </c>
      <c r="P260" s="1" t="s">
        <v>10</v>
      </c>
      <c r="Q260" s="1"/>
    </row>
    <row r="261" spans="7:17" x14ac:dyDescent="0.25">
      <c r="G261" s="1" t="str">
        <f>TEXT(Table1[[#This Row],[InvoiceDate]],"H AM/PM")</f>
        <v>10 AM</v>
      </c>
      <c r="H261" s="1">
        <f t="shared" si="4"/>
        <v>59.400000000000006</v>
      </c>
      <c r="I261" s="1">
        <v>536394</v>
      </c>
      <c r="J261" s="1">
        <v>21485</v>
      </c>
      <c r="K261" s="1" t="s">
        <v>214</v>
      </c>
      <c r="L261" s="1">
        <v>12</v>
      </c>
      <c r="M261" s="2">
        <v>40513.443749999999</v>
      </c>
      <c r="N261" s="1">
        <v>4.95</v>
      </c>
      <c r="O261" s="1">
        <v>13408</v>
      </c>
      <c r="P261" s="1" t="s">
        <v>10</v>
      </c>
      <c r="Q261" s="1"/>
    </row>
    <row r="262" spans="7:17" x14ac:dyDescent="0.25">
      <c r="G262" s="1" t="str">
        <f>TEXT(Table1[[#This Row],[InvoiceDate]],"H AM/PM")</f>
        <v>10 AM</v>
      </c>
      <c r="H262" s="1">
        <f t="shared" si="4"/>
        <v>45</v>
      </c>
      <c r="I262" s="1">
        <v>536394</v>
      </c>
      <c r="J262" s="1">
        <v>22349</v>
      </c>
      <c r="K262" s="1" t="s">
        <v>240</v>
      </c>
      <c r="L262" s="1">
        <v>12</v>
      </c>
      <c r="M262" s="2">
        <v>40513.443749999999</v>
      </c>
      <c r="N262" s="1">
        <v>3.75</v>
      </c>
      <c r="O262" s="1">
        <v>13408</v>
      </c>
      <c r="P262" s="1" t="s">
        <v>10</v>
      </c>
      <c r="Q262" s="1"/>
    </row>
    <row r="263" spans="7:17" x14ac:dyDescent="0.25">
      <c r="G263" s="1" t="str">
        <f>TEXT(Table1[[#This Row],[InvoiceDate]],"H AM/PM")</f>
        <v>10 AM</v>
      </c>
      <c r="H263" s="1">
        <f t="shared" si="4"/>
        <v>60</v>
      </c>
      <c r="I263" s="1">
        <v>536394</v>
      </c>
      <c r="J263" s="1">
        <v>22558</v>
      </c>
      <c r="K263" s="1" t="s">
        <v>241</v>
      </c>
      <c r="L263" s="1">
        <v>48</v>
      </c>
      <c r="M263" s="2">
        <v>40513.443749999999</v>
      </c>
      <c r="N263" s="1">
        <v>1.25</v>
      </c>
      <c r="O263" s="1">
        <v>13408</v>
      </c>
      <c r="P263" s="1" t="s">
        <v>10</v>
      </c>
      <c r="Q263" s="1"/>
    </row>
    <row r="264" spans="7:17" x14ac:dyDescent="0.25">
      <c r="G264" s="1" t="str">
        <f>TEXT(Table1[[#This Row],[InvoiceDate]],"H AM/PM")</f>
        <v>10 AM</v>
      </c>
      <c r="H264" s="1">
        <f t="shared" si="4"/>
        <v>25.200000000000003</v>
      </c>
      <c r="I264" s="1">
        <v>536394</v>
      </c>
      <c r="J264" s="1">
        <v>85152</v>
      </c>
      <c r="K264" s="1" t="s">
        <v>242</v>
      </c>
      <c r="L264" s="1">
        <v>12</v>
      </c>
      <c r="M264" s="2">
        <v>40513.443749999999</v>
      </c>
      <c r="N264" s="1">
        <v>2.1</v>
      </c>
      <c r="O264" s="1">
        <v>13408</v>
      </c>
      <c r="P264" s="1" t="s">
        <v>10</v>
      </c>
      <c r="Q264" s="1"/>
    </row>
    <row r="265" spans="7:17" x14ac:dyDescent="0.25">
      <c r="G265" s="1" t="str">
        <f>TEXT(Table1[[#This Row],[InvoiceDate]],"H AM/PM")</f>
        <v>10 AM</v>
      </c>
      <c r="H265" s="1">
        <f t="shared" si="4"/>
        <v>81.599999999999994</v>
      </c>
      <c r="I265" s="1">
        <v>536394</v>
      </c>
      <c r="J265" s="1" t="s">
        <v>8</v>
      </c>
      <c r="K265" s="1" t="s">
        <v>9</v>
      </c>
      <c r="L265" s="1">
        <v>32</v>
      </c>
      <c r="M265" s="2">
        <v>40513.443749999999</v>
      </c>
      <c r="N265" s="1">
        <v>2.5499999999999998</v>
      </c>
      <c r="O265" s="1">
        <v>13408</v>
      </c>
      <c r="P265" s="1" t="s">
        <v>10</v>
      </c>
      <c r="Q265" s="1"/>
    </row>
    <row r="266" spans="7:17" x14ac:dyDescent="0.25">
      <c r="G266" s="1" t="str">
        <f>TEXT(Table1[[#This Row],[InvoiceDate]],"H AM/PM")</f>
        <v>10 AM</v>
      </c>
      <c r="H266" s="1">
        <f t="shared" si="4"/>
        <v>33</v>
      </c>
      <c r="I266" s="1">
        <v>536394</v>
      </c>
      <c r="J266" s="1">
        <v>22652</v>
      </c>
      <c r="K266" s="1" t="s">
        <v>243</v>
      </c>
      <c r="L266" s="1">
        <v>20</v>
      </c>
      <c r="M266" s="2">
        <v>40513.443749999999</v>
      </c>
      <c r="N266" s="1">
        <v>1.65</v>
      </c>
      <c r="O266" s="1">
        <v>13408</v>
      </c>
      <c r="P266" s="1" t="s">
        <v>10</v>
      </c>
      <c r="Q266" s="1"/>
    </row>
    <row r="267" spans="7:17" x14ac:dyDescent="0.25">
      <c r="G267" s="1" t="str">
        <f>TEXT(Table1[[#This Row],[InvoiceDate]],"H AM/PM")</f>
        <v>10 AM</v>
      </c>
      <c r="H267" s="1">
        <f t="shared" si="4"/>
        <v>31.6</v>
      </c>
      <c r="I267" s="1">
        <v>536395</v>
      </c>
      <c r="J267" s="1">
        <v>22188</v>
      </c>
      <c r="K267" s="1" t="s">
        <v>244</v>
      </c>
      <c r="L267" s="1">
        <v>8</v>
      </c>
      <c r="M267" s="2">
        <v>40513.449305555558</v>
      </c>
      <c r="N267" s="1">
        <v>3.95</v>
      </c>
      <c r="O267" s="1">
        <v>13767</v>
      </c>
      <c r="P267" s="1" t="s">
        <v>10</v>
      </c>
      <c r="Q267" s="1"/>
    </row>
    <row r="268" spans="7:17" x14ac:dyDescent="0.25">
      <c r="G268" s="1" t="str">
        <f>TEXT(Table1[[#This Row],[InvoiceDate]],"H AM/PM")</f>
        <v>10 AM</v>
      </c>
      <c r="H268" s="1">
        <f t="shared" si="4"/>
        <v>54.08</v>
      </c>
      <c r="I268" s="1">
        <v>536395</v>
      </c>
      <c r="J268" s="1">
        <v>84879</v>
      </c>
      <c r="K268" s="1" t="s">
        <v>22</v>
      </c>
      <c r="L268" s="1">
        <v>32</v>
      </c>
      <c r="M268" s="2">
        <v>40513.449305555558</v>
      </c>
      <c r="N268" s="1">
        <v>1.69</v>
      </c>
      <c r="O268" s="1">
        <v>13767</v>
      </c>
      <c r="P268" s="1" t="s">
        <v>10</v>
      </c>
      <c r="Q268" s="1"/>
    </row>
    <row r="269" spans="7:17" x14ac:dyDescent="0.25">
      <c r="G269" s="1" t="str">
        <f>TEXT(Table1[[#This Row],[InvoiceDate]],"H AM/PM")</f>
        <v>10 AM</v>
      </c>
      <c r="H269" s="1">
        <f t="shared" si="4"/>
        <v>13.200000000000001</v>
      </c>
      <c r="I269" s="1">
        <v>536395</v>
      </c>
      <c r="J269" s="1">
        <v>21977</v>
      </c>
      <c r="K269" s="1" t="s">
        <v>90</v>
      </c>
      <c r="L269" s="1">
        <v>24</v>
      </c>
      <c r="M269" s="2">
        <v>40513.449305555558</v>
      </c>
      <c r="N269" s="1">
        <v>0.55000000000000004</v>
      </c>
      <c r="O269" s="1">
        <v>13767</v>
      </c>
      <c r="P269" s="1" t="s">
        <v>10</v>
      </c>
      <c r="Q269" s="1"/>
    </row>
    <row r="270" spans="7:17" x14ac:dyDescent="0.25">
      <c r="G270" s="1" t="str">
        <f>TEXT(Table1[[#This Row],[InvoiceDate]],"H AM/PM")</f>
        <v>10 AM</v>
      </c>
      <c r="H270" s="1">
        <f t="shared" si="4"/>
        <v>13.200000000000001</v>
      </c>
      <c r="I270" s="1">
        <v>536395</v>
      </c>
      <c r="J270" s="1">
        <v>84991</v>
      </c>
      <c r="K270" s="1" t="s">
        <v>91</v>
      </c>
      <c r="L270" s="1">
        <v>24</v>
      </c>
      <c r="M270" s="2">
        <v>40513.449305555558</v>
      </c>
      <c r="N270" s="1">
        <v>0.55000000000000004</v>
      </c>
      <c r="O270" s="1">
        <v>13767</v>
      </c>
      <c r="P270" s="1" t="s">
        <v>10</v>
      </c>
      <c r="Q270" s="1"/>
    </row>
    <row r="271" spans="7:17" x14ac:dyDescent="0.25">
      <c r="G271" s="1" t="str">
        <f>TEXT(Table1[[#This Row],[InvoiceDate]],"H AM/PM")</f>
        <v>10 AM</v>
      </c>
      <c r="H271" s="1">
        <f t="shared" si="4"/>
        <v>13.200000000000001</v>
      </c>
      <c r="I271" s="1">
        <v>536395</v>
      </c>
      <c r="J271" s="1">
        <v>21212</v>
      </c>
      <c r="K271" s="1" t="s">
        <v>88</v>
      </c>
      <c r="L271" s="1">
        <v>24</v>
      </c>
      <c r="M271" s="2">
        <v>40513.449305555558</v>
      </c>
      <c r="N271" s="1">
        <v>0.55000000000000004</v>
      </c>
      <c r="O271" s="1">
        <v>13767</v>
      </c>
      <c r="P271" s="1" t="s">
        <v>10</v>
      </c>
      <c r="Q271" s="1"/>
    </row>
    <row r="272" spans="7:17" x14ac:dyDescent="0.25">
      <c r="G272" s="1" t="str">
        <f>TEXT(Table1[[#This Row],[InvoiceDate]],"H AM/PM")</f>
        <v>10 AM</v>
      </c>
      <c r="H272" s="1">
        <f t="shared" si="4"/>
        <v>27.6</v>
      </c>
      <c r="I272" s="1">
        <v>536395</v>
      </c>
      <c r="J272" s="1">
        <v>21484</v>
      </c>
      <c r="K272" s="1" t="s">
        <v>223</v>
      </c>
      <c r="L272" s="1">
        <v>8</v>
      </c>
      <c r="M272" s="2">
        <v>40513.449305555558</v>
      </c>
      <c r="N272" s="1">
        <v>3.45</v>
      </c>
      <c r="O272" s="1">
        <v>13767</v>
      </c>
      <c r="P272" s="1" t="s">
        <v>10</v>
      </c>
      <c r="Q272" s="1"/>
    </row>
    <row r="273" spans="7:17" x14ac:dyDescent="0.25">
      <c r="G273" s="1" t="str">
        <f>TEXT(Table1[[#This Row],[InvoiceDate]],"H AM/PM")</f>
        <v>10 AM</v>
      </c>
      <c r="H273" s="1">
        <f t="shared" si="4"/>
        <v>16.8</v>
      </c>
      <c r="I273" s="1">
        <v>536395</v>
      </c>
      <c r="J273" s="1">
        <v>21314</v>
      </c>
      <c r="K273" s="1" t="s">
        <v>245</v>
      </c>
      <c r="L273" s="1">
        <v>8</v>
      </c>
      <c r="M273" s="2">
        <v>40513.449305555558</v>
      </c>
      <c r="N273" s="1">
        <v>2.1</v>
      </c>
      <c r="O273" s="1">
        <v>13767</v>
      </c>
      <c r="P273" s="1" t="s">
        <v>10</v>
      </c>
      <c r="Q273" s="1"/>
    </row>
    <row r="274" spans="7:17" x14ac:dyDescent="0.25">
      <c r="G274" s="1" t="str">
        <f>TEXT(Table1[[#This Row],[InvoiceDate]],"H AM/PM")</f>
        <v>10 AM</v>
      </c>
      <c r="H274" s="1">
        <f t="shared" si="4"/>
        <v>15</v>
      </c>
      <c r="I274" s="1">
        <v>536395</v>
      </c>
      <c r="J274" s="1">
        <v>22730</v>
      </c>
      <c r="K274" s="1" t="s">
        <v>246</v>
      </c>
      <c r="L274" s="1">
        <v>4</v>
      </c>
      <c r="M274" s="2">
        <v>40513.449305555558</v>
      </c>
      <c r="N274" s="1">
        <v>3.75</v>
      </c>
      <c r="O274" s="1">
        <v>13767</v>
      </c>
      <c r="P274" s="1" t="s">
        <v>10</v>
      </c>
      <c r="Q274" s="1"/>
    </row>
    <row r="275" spans="7:17" x14ac:dyDescent="0.25">
      <c r="G275" s="1" t="str">
        <f>TEXT(Table1[[#This Row],[InvoiceDate]],"H AM/PM")</f>
        <v>10 AM</v>
      </c>
      <c r="H275" s="1">
        <f t="shared" si="4"/>
        <v>30</v>
      </c>
      <c r="I275" s="1">
        <v>536395</v>
      </c>
      <c r="J275" s="1">
        <v>22727</v>
      </c>
      <c r="K275" s="1" t="s">
        <v>41</v>
      </c>
      <c r="L275" s="1">
        <v>8</v>
      </c>
      <c r="M275" s="2">
        <v>40513.449305555558</v>
      </c>
      <c r="N275" s="1">
        <v>3.75</v>
      </c>
      <c r="O275" s="1">
        <v>13767</v>
      </c>
      <c r="P275" s="1" t="s">
        <v>10</v>
      </c>
      <c r="Q275" s="1"/>
    </row>
    <row r="276" spans="7:17" x14ac:dyDescent="0.25">
      <c r="G276" s="1" t="str">
        <f>TEXT(Table1[[#This Row],[InvoiceDate]],"H AM/PM")</f>
        <v>10 AM</v>
      </c>
      <c r="H276" s="1">
        <f t="shared" si="4"/>
        <v>30</v>
      </c>
      <c r="I276" s="1">
        <v>536395</v>
      </c>
      <c r="J276" s="1">
        <v>22729</v>
      </c>
      <c r="K276" s="1" t="s">
        <v>247</v>
      </c>
      <c r="L276" s="1">
        <v>8</v>
      </c>
      <c r="M276" s="2">
        <v>40513.449305555558</v>
      </c>
      <c r="N276" s="1">
        <v>3.75</v>
      </c>
      <c r="O276" s="1">
        <v>13767</v>
      </c>
      <c r="P276" s="1" t="s">
        <v>10</v>
      </c>
      <c r="Q276" s="1"/>
    </row>
    <row r="277" spans="7:17" x14ac:dyDescent="0.25">
      <c r="G277" s="1" t="str">
        <f>TEXT(Table1[[#This Row],[InvoiceDate]],"H AM/PM")</f>
        <v>10 AM</v>
      </c>
      <c r="H277" s="1">
        <f t="shared" si="4"/>
        <v>30</v>
      </c>
      <c r="I277" s="1">
        <v>536395</v>
      </c>
      <c r="J277" s="1">
        <v>22726</v>
      </c>
      <c r="K277" s="1" t="s">
        <v>42</v>
      </c>
      <c r="L277" s="1">
        <v>8</v>
      </c>
      <c r="M277" s="2">
        <v>40513.449305555558</v>
      </c>
      <c r="N277" s="1">
        <v>3.75</v>
      </c>
      <c r="O277" s="1">
        <v>13767</v>
      </c>
      <c r="P277" s="1" t="s">
        <v>10</v>
      </c>
      <c r="Q277" s="1"/>
    </row>
    <row r="278" spans="7:17" x14ac:dyDescent="0.25">
      <c r="G278" s="1" t="str">
        <f>TEXT(Table1[[#This Row],[InvoiceDate]],"H AM/PM")</f>
        <v>10 AM</v>
      </c>
      <c r="H278" s="1">
        <f t="shared" si="4"/>
        <v>31.6</v>
      </c>
      <c r="I278" s="1">
        <v>536395</v>
      </c>
      <c r="J278" s="1">
        <v>22114</v>
      </c>
      <c r="K278" s="1" t="s">
        <v>73</v>
      </c>
      <c r="L278" s="1">
        <v>8</v>
      </c>
      <c r="M278" s="2">
        <v>40513.449305555558</v>
      </c>
      <c r="N278" s="1">
        <v>3.95</v>
      </c>
      <c r="O278" s="1">
        <v>13767</v>
      </c>
      <c r="P278" s="1" t="s">
        <v>10</v>
      </c>
      <c r="Q278" s="1"/>
    </row>
    <row r="279" spans="7:17" x14ac:dyDescent="0.25">
      <c r="G279" s="1" t="str">
        <f>TEXT(Table1[[#This Row],[InvoiceDate]],"H AM/PM")</f>
        <v>10 AM</v>
      </c>
      <c r="H279" s="1">
        <f t="shared" si="4"/>
        <v>100.80000000000001</v>
      </c>
      <c r="I279" s="1">
        <v>536395</v>
      </c>
      <c r="J279" s="1">
        <v>22867</v>
      </c>
      <c r="K279" s="1" t="s">
        <v>248</v>
      </c>
      <c r="L279" s="1">
        <v>48</v>
      </c>
      <c r="M279" s="2">
        <v>40513.449305555558</v>
      </c>
      <c r="N279" s="1">
        <v>2.1</v>
      </c>
      <c r="O279" s="1">
        <v>13767</v>
      </c>
      <c r="P279" s="1" t="s">
        <v>10</v>
      </c>
      <c r="Q279" s="1"/>
    </row>
    <row r="280" spans="7:17" x14ac:dyDescent="0.25">
      <c r="G280" s="1" t="str">
        <f>TEXT(Table1[[#This Row],[InvoiceDate]],"H AM/PM")</f>
        <v>10 AM</v>
      </c>
      <c r="H280" s="1">
        <f t="shared" si="4"/>
        <v>100.80000000000001</v>
      </c>
      <c r="I280" s="1">
        <v>536395</v>
      </c>
      <c r="J280" s="1">
        <v>22866</v>
      </c>
      <c r="K280" s="1" t="s">
        <v>237</v>
      </c>
      <c r="L280" s="1">
        <v>48</v>
      </c>
      <c r="M280" s="2">
        <v>40513.449305555558</v>
      </c>
      <c r="N280" s="1">
        <v>2.1</v>
      </c>
      <c r="O280" s="1">
        <v>13767</v>
      </c>
      <c r="P280" s="1" t="s">
        <v>10</v>
      </c>
      <c r="Q280" s="1"/>
    </row>
    <row r="281" spans="7:17" x14ac:dyDescent="0.25">
      <c r="G281" s="1" t="str">
        <f>TEXT(Table1[[#This Row],[InvoiceDate]],"H AM/PM")</f>
        <v>10 AM</v>
      </c>
      <c r="H281" s="1">
        <f t="shared" si="4"/>
        <v>15.299999999999999</v>
      </c>
      <c r="I281" s="1">
        <v>536396</v>
      </c>
      <c r="J281" s="1" t="s">
        <v>8</v>
      </c>
      <c r="K281" s="1" t="s">
        <v>9</v>
      </c>
      <c r="L281" s="1">
        <v>6</v>
      </c>
      <c r="M281" s="2">
        <v>40513.45208333333</v>
      </c>
      <c r="N281" s="1">
        <v>2.5499999999999998</v>
      </c>
      <c r="O281" s="1">
        <v>17850</v>
      </c>
      <c r="P281" s="1" t="s">
        <v>10</v>
      </c>
      <c r="Q281" s="1"/>
    </row>
    <row r="282" spans="7:17" x14ac:dyDescent="0.25">
      <c r="G282" s="1" t="str">
        <f>TEXT(Table1[[#This Row],[InvoiceDate]],"H AM/PM")</f>
        <v>10 AM</v>
      </c>
      <c r="H282" s="1">
        <f t="shared" si="4"/>
        <v>20.34</v>
      </c>
      <c r="I282" s="1">
        <v>536396</v>
      </c>
      <c r="J282" s="1">
        <v>71053</v>
      </c>
      <c r="K282" s="1" t="s">
        <v>11</v>
      </c>
      <c r="L282" s="1">
        <v>6</v>
      </c>
      <c r="M282" s="2">
        <v>40513.45208333333</v>
      </c>
      <c r="N282" s="1">
        <v>3.39</v>
      </c>
      <c r="O282" s="1">
        <v>17850</v>
      </c>
      <c r="P282" s="1" t="s">
        <v>10</v>
      </c>
      <c r="Q282" s="1"/>
    </row>
    <row r="283" spans="7:17" x14ac:dyDescent="0.25">
      <c r="G283" s="1" t="str">
        <f>TEXT(Table1[[#This Row],[InvoiceDate]],"H AM/PM")</f>
        <v>10 AM</v>
      </c>
      <c r="H283" s="1">
        <f t="shared" si="4"/>
        <v>22</v>
      </c>
      <c r="I283" s="1">
        <v>536396</v>
      </c>
      <c r="J283" s="1" t="s">
        <v>12</v>
      </c>
      <c r="K283" s="1" t="s">
        <v>13</v>
      </c>
      <c r="L283" s="1">
        <v>8</v>
      </c>
      <c r="M283" s="2">
        <v>40513.45208333333</v>
      </c>
      <c r="N283" s="1">
        <v>2.75</v>
      </c>
      <c r="O283" s="1">
        <v>17850</v>
      </c>
      <c r="P283" s="1" t="s">
        <v>10</v>
      </c>
      <c r="Q283" s="1"/>
    </row>
    <row r="284" spans="7:17" x14ac:dyDescent="0.25">
      <c r="G284" s="1" t="str">
        <f>TEXT(Table1[[#This Row],[InvoiceDate]],"H AM/PM")</f>
        <v>10 AM</v>
      </c>
      <c r="H284" s="1">
        <f t="shared" si="4"/>
        <v>29.700000000000003</v>
      </c>
      <c r="I284" s="1">
        <v>536396</v>
      </c>
      <c r="J284" s="1" t="s">
        <v>128</v>
      </c>
      <c r="K284" s="1" t="s">
        <v>129</v>
      </c>
      <c r="L284" s="1">
        <v>6</v>
      </c>
      <c r="M284" s="2">
        <v>40513.45208333333</v>
      </c>
      <c r="N284" s="1">
        <v>4.95</v>
      </c>
      <c r="O284" s="1">
        <v>17850</v>
      </c>
      <c r="P284" s="1" t="s">
        <v>10</v>
      </c>
      <c r="Q284" s="1"/>
    </row>
    <row r="285" spans="7:17" x14ac:dyDescent="0.25">
      <c r="G285" s="1" t="str">
        <f>TEXT(Table1[[#This Row],[InvoiceDate]],"H AM/PM")</f>
        <v>10 AM</v>
      </c>
      <c r="H285" s="1">
        <f t="shared" si="4"/>
        <v>29.700000000000003</v>
      </c>
      <c r="I285" s="1">
        <v>536396</v>
      </c>
      <c r="J285" s="1">
        <v>20679</v>
      </c>
      <c r="K285" s="1" t="s">
        <v>62</v>
      </c>
      <c r="L285" s="1">
        <v>6</v>
      </c>
      <c r="M285" s="2">
        <v>40513.45208333333</v>
      </c>
      <c r="N285" s="1">
        <v>4.95</v>
      </c>
      <c r="O285" s="1">
        <v>17850</v>
      </c>
      <c r="P285" s="1" t="s">
        <v>10</v>
      </c>
      <c r="Q285" s="1"/>
    </row>
    <row r="286" spans="7:17" x14ac:dyDescent="0.25">
      <c r="G286" s="1" t="str">
        <f>TEXT(Table1[[#This Row],[InvoiceDate]],"H AM/PM")</f>
        <v>10 AM</v>
      </c>
      <c r="H286" s="1">
        <f t="shared" si="4"/>
        <v>6.36</v>
      </c>
      <c r="I286" s="1">
        <v>536396</v>
      </c>
      <c r="J286" s="1">
        <v>37370</v>
      </c>
      <c r="K286" s="1" t="s">
        <v>63</v>
      </c>
      <c r="L286" s="1">
        <v>6</v>
      </c>
      <c r="M286" s="2">
        <v>40513.45208333333</v>
      </c>
      <c r="N286" s="1">
        <v>1.06</v>
      </c>
      <c r="O286" s="1">
        <v>17850</v>
      </c>
      <c r="P286" s="1" t="s">
        <v>10</v>
      </c>
      <c r="Q286" s="1"/>
    </row>
    <row r="287" spans="7:17" x14ac:dyDescent="0.25">
      <c r="G287" s="1" t="str">
        <f>TEXT(Table1[[#This Row],[InvoiceDate]],"H AM/PM")</f>
        <v>10 AM</v>
      </c>
      <c r="H287" s="1">
        <f t="shared" si="4"/>
        <v>6.36</v>
      </c>
      <c r="I287" s="1">
        <v>536396</v>
      </c>
      <c r="J287" s="1">
        <v>21871</v>
      </c>
      <c r="K287" s="1" t="s">
        <v>64</v>
      </c>
      <c r="L287" s="1">
        <v>6</v>
      </c>
      <c r="M287" s="2">
        <v>40513.45208333333</v>
      </c>
      <c r="N287" s="1">
        <v>1.06</v>
      </c>
      <c r="O287" s="1">
        <v>17850</v>
      </c>
      <c r="P287" s="1" t="s">
        <v>10</v>
      </c>
      <c r="Q287" s="1"/>
    </row>
    <row r="288" spans="7:17" x14ac:dyDescent="0.25">
      <c r="G288" s="1" t="str">
        <f>TEXT(Table1[[#This Row],[InvoiceDate]],"H AM/PM")</f>
        <v>10 AM</v>
      </c>
      <c r="H288" s="1">
        <f t="shared" si="4"/>
        <v>6.36</v>
      </c>
      <c r="I288" s="1">
        <v>536396</v>
      </c>
      <c r="J288" s="1">
        <v>21071</v>
      </c>
      <c r="K288" s="1" t="s">
        <v>65</v>
      </c>
      <c r="L288" s="1">
        <v>6</v>
      </c>
      <c r="M288" s="2">
        <v>40513.45208333333</v>
      </c>
      <c r="N288" s="1">
        <v>1.06</v>
      </c>
      <c r="O288" s="1">
        <v>17850</v>
      </c>
      <c r="P288" s="1" t="s">
        <v>10</v>
      </c>
      <c r="Q288" s="1"/>
    </row>
    <row r="289" spans="7:17" x14ac:dyDescent="0.25">
      <c r="G289" s="1" t="str">
        <f>TEXT(Table1[[#This Row],[InvoiceDate]],"H AM/PM")</f>
        <v>10 AM</v>
      </c>
      <c r="H289" s="1">
        <f t="shared" si="4"/>
        <v>6.36</v>
      </c>
      <c r="I289" s="1">
        <v>536396</v>
      </c>
      <c r="J289" s="1">
        <v>21068</v>
      </c>
      <c r="K289" s="1" t="s">
        <v>66</v>
      </c>
      <c r="L289" s="1">
        <v>6</v>
      </c>
      <c r="M289" s="2">
        <v>40513.45208333333</v>
      </c>
      <c r="N289" s="1">
        <v>1.06</v>
      </c>
      <c r="O289" s="1">
        <v>17850</v>
      </c>
      <c r="P289" s="1" t="s">
        <v>10</v>
      </c>
      <c r="Q289" s="1"/>
    </row>
    <row r="290" spans="7:17" x14ac:dyDescent="0.25">
      <c r="G290" s="1" t="str">
        <f>TEXT(Table1[[#This Row],[InvoiceDate]],"H AM/PM")</f>
        <v>10 AM</v>
      </c>
      <c r="H290" s="1">
        <f t="shared" si="4"/>
        <v>9.9</v>
      </c>
      <c r="I290" s="1">
        <v>536396</v>
      </c>
      <c r="J290" s="1">
        <v>82483</v>
      </c>
      <c r="K290" s="1" t="s">
        <v>67</v>
      </c>
      <c r="L290" s="1">
        <v>2</v>
      </c>
      <c r="M290" s="2">
        <v>40513.45208333333</v>
      </c>
      <c r="N290" s="1">
        <v>4.95</v>
      </c>
      <c r="O290" s="1">
        <v>17850</v>
      </c>
      <c r="P290" s="1" t="s">
        <v>10</v>
      </c>
      <c r="Q290" s="1"/>
    </row>
    <row r="291" spans="7:17" x14ac:dyDescent="0.25">
      <c r="G291" s="1" t="str">
        <f>TEXT(Table1[[#This Row],[InvoiceDate]],"H AM/PM")</f>
        <v>10 AM</v>
      </c>
      <c r="H291" s="1">
        <f t="shared" si="4"/>
        <v>27.8</v>
      </c>
      <c r="I291" s="1">
        <v>536396</v>
      </c>
      <c r="J291" s="1">
        <v>82486</v>
      </c>
      <c r="K291" s="1" t="s">
        <v>68</v>
      </c>
      <c r="L291" s="1">
        <v>4</v>
      </c>
      <c r="M291" s="2">
        <v>40513.45208333333</v>
      </c>
      <c r="N291" s="1">
        <v>6.95</v>
      </c>
      <c r="O291" s="1">
        <v>17850</v>
      </c>
      <c r="P291" s="1" t="s">
        <v>10</v>
      </c>
      <c r="Q291" s="1"/>
    </row>
    <row r="292" spans="7:17" x14ac:dyDescent="0.25">
      <c r="G292" s="1" t="str">
        <f>TEXT(Table1[[#This Row],[InvoiceDate]],"H AM/PM")</f>
        <v>10 AM</v>
      </c>
      <c r="H292" s="1">
        <f t="shared" si="4"/>
        <v>12.600000000000001</v>
      </c>
      <c r="I292" s="1">
        <v>536396</v>
      </c>
      <c r="J292" s="1">
        <v>82482</v>
      </c>
      <c r="K292" s="1" t="s">
        <v>69</v>
      </c>
      <c r="L292" s="1">
        <v>6</v>
      </c>
      <c r="M292" s="2">
        <v>40513.45208333333</v>
      </c>
      <c r="N292" s="1">
        <v>2.1</v>
      </c>
      <c r="O292" s="1">
        <v>17850</v>
      </c>
      <c r="P292" s="1" t="s">
        <v>10</v>
      </c>
      <c r="Q292" s="1"/>
    </row>
    <row r="293" spans="7:17" x14ac:dyDescent="0.25">
      <c r="G293" s="1" t="str">
        <f>TEXT(Table1[[#This Row],[InvoiceDate]],"H AM/PM")</f>
        <v>10 AM</v>
      </c>
      <c r="H293" s="1">
        <f t="shared" si="4"/>
        <v>30.599999999999998</v>
      </c>
      <c r="I293" s="1">
        <v>536396</v>
      </c>
      <c r="J293" s="1" t="s">
        <v>70</v>
      </c>
      <c r="K293" s="1" t="s">
        <v>71</v>
      </c>
      <c r="L293" s="1">
        <v>12</v>
      </c>
      <c r="M293" s="2">
        <v>40513.45208333333</v>
      </c>
      <c r="N293" s="1">
        <v>2.5499999999999998</v>
      </c>
      <c r="O293" s="1">
        <v>17850</v>
      </c>
      <c r="P293" s="1" t="s">
        <v>10</v>
      </c>
      <c r="Q293" s="1"/>
    </row>
    <row r="294" spans="7:17" x14ac:dyDescent="0.25">
      <c r="G294" s="1" t="str">
        <f>TEXT(Table1[[#This Row],[InvoiceDate]],"H AM/PM")</f>
        <v>10 AM</v>
      </c>
      <c r="H294" s="1">
        <f t="shared" si="4"/>
        <v>20.34</v>
      </c>
      <c r="I294" s="1">
        <v>536396</v>
      </c>
      <c r="J294" s="1" t="s">
        <v>14</v>
      </c>
      <c r="K294" s="1" t="s">
        <v>15</v>
      </c>
      <c r="L294" s="1">
        <v>6</v>
      </c>
      <c r="M294" s="2">
        <v>40513.45208333333</v>
      </c>
      <c r="N294" s="1">
        <v>3.39</v>
      </c>
      <c r="O294" s="1">
        <v>17850</v>
      </c>
      <c r="P294" s="1" t="s">
        <v>10</v>
      </c>
      <c r="Q294" s="1"/>
    </row>
    <row r="295" spans="7:17" x14ac:dyDescent="0.25">
      <c r="G295" s="1" t="str">
        <f>TEXT(Table1[[#This Row],[InvoiceDate]],"H AM/PM")</f>
        <v>10 AM</v>
      </c>
      <c r="H295" s="1">
        <f t="shared" si="4"/>
        <v>20.34</v>
      </c>
      <c r="I295" s="1">
        <v>536396</v>
      </c>
      <c r="J295" s="1" t="s">
        <v>16</v>
      </c>
      <c r="K295" s="1" t="s">
        <v>17</v>
      </c>
      <c r="L295" s="1">
        <v>6</v>
      </c>
      <c r="M295" s="2">
        <v>40513.45208333333</v>
      </c>
      <c r="N295" s="1">
        <v>3.39</v>
      </c>
      <c r="O295" s="1">
        <v>17850</v>
      </c>
      <c r="P295" s="1" t="s">
        <v>10</v>
      </c>
      <c r="Q295" s="1"/>
    </row>
    <row r="296" spans="7:17" x14ac:dyDescent="0.25">
      <c r="G296" s="1" t="str">
        <f>TEXT(Table1[[#This Row],[InvoiceDate]],"H AM/PM")</f>
        <v>10 AM</v>
      </c>
      <c r="H296" s="1">
        <f t="shared" si="4"/>
        <v>15.3</v>
      </c>
      <c r="I296" s="1">
        <v>536396</v>
      </c>
      <c r="J296" s="1">
        <v>22752</v>
      </c>
      <c r="K296" s="1" t="s">
        <v>18</v>
      </c>
      <c r="L296" s="1">
        <v>2</v>
      </c>
      <c r="M296" s="2">
        <v>40513.45208333333</v>
      </c>
      <c r="N296" s="1">
        <v>7.65</v>
      </c>
      <c r="O296" s="1">
        <v>17850</v>
      </c>
      <c r="P296" s="1" t="s">
        <v>10</v>
      </c>
      <c r="Q296" s="1"/>
    </row>
    <row r="297" spans="7:17" x14ac:dyDescent="0.25">
      <c r="G297" s="1" t="str">
        <f>TEXT(Table1[[#This Row],[InvoiceDate]],"H AM/PM")</f>
        <v>10 AM</v>
      </c>
      <c r="H297" s="1">
        <f t="shared" si="4"/>
        <v>71.5</v>
      </c>
      <c r="I297" s="1">
        <v>536396</v>
      </c>
      <c r="J297" s="1">
        <v>22803</v>
      </c>
      <c r="K297" s="1" t="s">
        <v>249</v>
      </c>
      <c r="L297" s="1">
        <v>2</v>
      </c>
      <c r="M297" s="2">
        <v>40513.45208333333</v>
      </c>
      <c r="N297" s="1">
        <v>35.75</v>
      </c>
      <c r="O297" s="1">
        <v>17850</v>
      </c>
      <c r="P297" s="1" t="s">
        <v>10</v>
      </c>
      <c r="Q297" s="1"/>
    </row>
    <row r="298" spans="7:17" x14ac:dyDescent="0.25">
      <c r="G298" s="1" t="str">
        <f>TEXT(Table1[[#This Row],[InvoiceDate]],"H AM/PM")</f>
        <v>10 AM</v>
      </c>
      <c r="H298" s="1">
        <f t="shared" si="4"/>
        <v>25.5</v>
      </c>
      <c r="I298" s="1">
        <v>536396</v>
      </c>
      <c r="J298" s="1">
        <v>21730</v>
      </c>
      <c r="K298" s="1" t="s">
        <v>19</v>
      </c>
      <c r="L298" s="1">
        <v>6</v>
      </c>
      <c r="M298" s="2">
        <v>40513.45208333333</v>
      </c>
      <c r="N298" s="1">
        <v>4.25</v>
      </c>
      <c r="O298" s="1">
        <v>17850</v>
      </c>
      <c r="P298" s="1" t="s">
        <v>10</v>
      </c>
      <c r="Q298" s="1"/>
    </row>
    <row r="299" spans="7:17" x14ac:dyDescent="0.25">
      <c r="G299" s="1" t="str">
        <f>TEXT(Table1[[#This Row],[InvoiceDate]],"H AM/PM")</f>
        <v>10 AM</v>
      </c>
      <c r="H299" s="1">
        <f t="shared" si="4"/>
        <v>55.800000000000004</v>
      </c>
      <c r="I299" s="1">
        <v>536397</v>
      </c>
      <c r="J299" s="1" t="s">
        <v>250</v>
      </c>
      <c r="K299" s="1" t="s">
        <v>251</v>
      </c>
      <c r="L299" s="1">
        <v>12</v>
      </c>
      <c r="M299" s="2">
        <v>40513.45208333333</v>
      </c>
      <c r="N299" s="1">
        <v>4.6500000000000004</v>
      </c>
      <c r="O299" s="1">
        <v>17924</v>
      </c>
      <c r="P299" s="1" t="s">
        <v>10</v>
      </c>
      <c r="Q299" s="1"/>
    </row>
    <row r="300" spans="7:17" x14ac:dyDescent="0.25">
      <c r="G300" s="1" t="str">
        <f>TEXT(Table1[[#This Row],[InvoiceDate]],"H AM/PM")</f>
        <v>10 AM</v>
      </c>
      <c r="H300" s="1">
        <f t="shared" si="4"/>
        <v>223.20000000000002</v>
      </c>
      <c r="I300" s="1">
        <v>536397</v>
      </c>
      <c r="J300" s="1" t="s">
        <v>151</v>
      </c>
      <c r="K300" s="1" t="s">
        <v>152</v>
      </c>
      <c r="L300" s="1">
        <v>48</v>
      </c>
      <c r="M300" s="2">
        <v>40513.45208333333</v>
      </c>
      <c r="N300" s="1">
        <v>4.6500000000000004</v>
      </c>
      <c r="O300" s="1">
        <v>17924</v>
      </c>
      <c r="P300" s="1" t="s">
        <v>10</v>
      </c>
      <c r="Q300" s="1"/>
    </row>
    <row r="301" spans="7:17" x14ac:dyDescent="0.25">
      <c r="G301" s="1" t="str">
        <f>TEXT(Table1[[#This Row],[InvoiceDate]],"H AM/PM")</f>
        <v>10 AM</v>
      </c>
      <c r="H301" s="1">
        <f t="shared" si="4"/>
        <v>6.9599999999999991</v>
      </c>
      <c r="I301" s="1">
        <v>536398</v>
      </c>
      <c r="J301" s="1">
        <v>21980</v>
      </c>
      <c r="K301" s="1" t="s">
        <v>222</v>
      </c>
      <c r="L301" s="1">
        <v>24</v>
      </c>
      <c r="M301" s="2">
        <v>40513.452777777777</v>
      </c>
      <c r="N301" s="1">
        <v>0.28999999999999998</v>
      </c>
      <c r="O301" s="1">
        <v>13448</v>
      </c>
      <c r="P301" s="1" t="s">
        <v>10</v>
      </c>
      <c r="Q301" s="1"/>
    </row>
    <row r="302" spans="7:17" x14ac:dyDescent="0.25">
      <c r="G302" s="1" t="str">
        <f>TEXT(Table1[[#This Row],[InvoiceDate]],"H AM/PM")</f>
        <v>10 AM</v>
      </c>
      <c r="H302" s="1">
        <f t="shared" si="4"/>
        <v>17.700000000000003</v>
      </c>
      <c r="I302" s="1">
        <v>536398</v>
      </c>
      <c r="J302" s="1">
        <v>21844</v>
      </c>
      <c r="K302" s="1" t="s">
        <v>252</v>
      </c>
      <c r="L302" s="1">
        <v>6</v>
      </c>
      <c r="M302" s="2">
        <v>40513.452777777777</v>
      </c>
      <c r="N302" s="1">
        <v>2.95</v>
      </c>
      <c r="O302" s="1">
        <v>13448</v>
      </c>
      <c r="P302" s="1" t="s">
        <v>10</v>
      </c>
      <c r="Q302" s="1"/>
    </row>
    <row r="303" spans="7:17" x14ac:dyDescent="0.25">
      <c r="G303" s="1" t="str">
        <f>TEXT(Table1[[#This Row],[InvoiceDate]],"H AM/PM")</f>
        <v>10 AM</v>
      </c>
      <c r="H303" s="1">
        <f t="shared" si="4"/>
        <v>27</v>
      </c>
      <c r="I303" s="1">
        <v>536398</v>
      </c>
      <c r="J303" s="1">
        <v>22468</v>
      </c>
      <c r="K303" s="1" t="s">
        <v>253</v>
      </c>
      <c r="L303" s="1">
        <v>4</v>
      </c>
      <c r="M303" s="2">
        <v>40513.452777777777</v>
      </c>
      <c r="N303" s="1">
        <v>6.75</v>
      </c>
      <c r="O303" s="1">
        <v>13448</v>
      </c>
      <c r="P303" s="1" t="s">
        <v>10</v>
      </c>
      <c r="Q303" s="1"/>
    </row>
    <row r="304" spans="7:17" x14ac:dyDescent="0.25">
      <c r="G304" s="1" t="str">
        <f>TEXT(Table1[[#This Row],[InvoiceDate]],"H AM/PM")</f>
        <v>10 AM</v>
      </c>
      <c r="H304" s="1">
        <f t="shared" si="4"/>
        <v>20.399999999999999</v>
      </c>
      <c r="I304" s="1">
        <v>536398</v>
      </c>
      <c r="J304" s="1">
        <v>22637</v>
      </c>
      <c r="K304" s="1" t="s">
        <v>110</v>
      </c>
      <c r="L304" s="1">
        <v>8</v>
      </c>
      <c r="M304" s="2">
        <v>40513.452777777777</v>
      </c>
      <c r="N304" s="1">
        <v>2.5499999999999998</v>
      </c>
      <c r="O304" s="1">
        <v>13448</v>
      </c>
      <c r="P304" s="1" t="s">
        <v>10</v>
      </c>
      <c r="Q304" s="1"/>
    </row>
    <row r="305" spans="7:17" x14ac:dyDescent="0.25">
      <c r="G305" s="1" t="str">
        <f>TEXT(Table1[[#This Row],[InvoiceDate]],"H AM/PM")</f>
        <v>10 AM</v>
      </c>
      <c r="H305" s="1">
        <f t="shared" si="4"/>
        <v>51</v>
      </c>
      <c r="I305" s="1">
        <v>536398</v>
      </c>
      <c r="J305" s="1">
        <v>22752</v>
      </c>
      <c r="K305" s="1" t="s">
        <v>18</v>
      </c>
      <c r="L305" s="1">
        <v>6</v>
      </c>
      <c r="M305" s="2">
        <v>40513.452777777777</v>
      </c>
      <c r="N305" s="1">
        <v>8.5</v>
      </c>
      <c r="O305" s="1">
        <v>13448</v>
      </c>
      <c r="P305" s="1" t="s">
        <v>10</v>
      </c>
      <c r="Q305" s="1"/>
    </row>
    <row r="306" spans="7:17" x14ac:dyDescent="0.25">
      <c r="G306" s="1" t="str">
        <f>TEXT(Table1[[#This Row],[InvoiceDate]],"H AM/PM")</f>
        <v>10 AM</v>
      </c>
      <c r="H306" s="1">
        <f t="shared" si="4"/>
        <v>15.9</v>
      </c>
      <c r="I306" s="1">
        <v>536398</v>
      </c>
      <c r="J306" s="1">
        <v>48185</v>
      </c>
      <c r="K306" s="1" t="s">
        <v>254</v>
      </c>
      <c r="L306" s="1">
        <v>2</v>
      </c>
      <c r="M306" s="2">
        <v>40513.452777777777</v>
      </c>
      <c r="N306" s="1">
        <v>7.95</v>
      </c>
      <c r="O306" s="1">
        <v>13448</v>
      </c>
      <c r="P306" s="1" t="s">
        <v>10</v>
      </c>
      <c r="Q306" s="1"/>
    </row>
    <row r="307" spans="7:17" x14ac:dyDescent="0.25">
      <c r="G307" s="7"/>
      <c r="H307" s="1">
        <f>SUM(Table1[total seals])</f>
        <v>13475.180000000011</v>
      </c>
      <c r="I307" s="1">
        <f>SUM(Table1[InvoiceNo])</f>
        <v>158232881</v>
      </c>
      <c r="J307" s="1"/>
      <c r="K307" s="1"/>
      <c r="L307" s="1"/>
      <c r="M307" s="2"/>
      <c r="N307" s="1"/>
      <c r="O307" s="1"/>
      <c r="P307" s="1"/>
    </row>
  </sheetData>
  <pageMargins left="0.7" right="0.7" top="0.75" bottom="0.75" header="0.3" footer="0.3"/>
  <pageSetup scale="40" fitToHeight="0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84222-2BDE-4DFB-AFE6-7855DBFCB133}">
  <sheetPr>
    <tabColor theme="5" tint="0.39997558519241921"/>
  </sheetPr>
  <dimension ref="G5:H9"/>
  <sheetViews>
    <sheetView workbookViewId="0">
      <selection activeCell="H9" sqref="H9"/>
    </sheetView>
  </sheetViews>
  <sheetFormatPr defaultRowHeight="15" x14ac:dyDescent="0.25"/>
  <cols>
    <col min="7" max="7" width="13.140625" bestFit="1" customWidth="1"/>
    <col min="8" max="8" width="16.7109375" bestFit="1" customWidth="1"/>
  </cols>
  <sheetData>
    <row r="5" spans="7:8" x14ac:dyDescent="0.25">
      <c r="G5" s="4" t="s">
        <v>258</v>
      </c>
      <c r="H5" t="s">
        <v>257</v>
      </c>
    </row>
    <row r="6" spans="7:8" x14ac:dyDescent="0.25">
      <c r="G6" s="5" t="s">
        <v>259</v>
      </c>
      <c r="H6" s="3">
        <v>4767.1299999999974</v>
      </c>
    </row>
    <row r="7" spans="7:8" x14ac:dyDescent="0.25">
      <c r="G7" s="5" t="s">
        <v>260</v>
      </c>
      <c r="H7" s="3">
        <v>1383.8099999999997</v>
      </c>
    </row>
    <row r="8" spans="7:8" x14ac:dyDescent="0.25">
      <c r="G8" s="5" t="s">
        <v>261</v>
      </c>
      <c r="H8" s="3">
        <v>7324.239999999998</v>
      </c>
    </row>
    <row r="9" spans="7:8" x14ac:dyDescent="0.25">
      <c r="G9" s="5" t="s">
        <v>262</v>
      </c>
      <c r="H9" s="3">
        <v>13475.180000000011</v>
      </c>
    </row>
  </sheetData>
  <pageMargins left="0.7" right="0.7" top="0.75" bottom="0.75" header="0.3" footer="0.3"/>
  <pageSetup orientation="portrait" horizontalDpi="1200" verticalDpi="1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3E9CD-3E75-460A-BF73-9B3416BF9AA4}">
  <sheetPr>
    <tabColor theme="7" tint="0.59999389629810485"/>
  </sheetPr>
  <dimension ref="E3:F7"/>
  <sheetViews>
    <sheetView workbookViewId="0">
      <selection activeCell="H8" sqref="H8"/>
    </sheetView>
  </sheetViews>
  <sheetFormatPr defaultRowHeight="15" x14ac:dyDescent="0.25"/>
  <cols>
    <col min="5" max="5" width="13.140625" bestFit="1" customWidth="1"/>
    <col min="6" max="6" width="16.7109375" bestFit="1" customWidth="1"/>
  </cols>
  <sheetData>
    <row r="3" spans="5:6" x14ac:dyDescent="0.25">
      <c r="E3" s="4" t="s">
        <v>258</v>
      </c>
      <c r="F3" t="s">
        <v>257</v>
      </c>
    </row>
    <row r="4" spans="5:6" x14ac:dyDescent="0.25">
      <c r="E4" s="5" t="s">
        <v>259</v>
      </c>
      <c r="F4" s="3">
        <v>4767.1299999999974</v>
      </c>
    </row>
    <row r="5" spans="5:6" x14ac:dyDescent="0.25">
      <c r="E5" s="5" t="s">
        <v>260</v>
      </c>
      <c r="F5" s="3">
        <v>1383.8099999999997</v>
      </c>
    </row>
    <row r="6" spans="5:6" x14ac:dyDescent="0.25">
      <c r="E6" s="5" t="s">
        <v>261</v>
      </c>
      <c r="F6" s="3">
        <v>7324.239999999998</v>
      </c>
    </row>
    <row r="7" spans="5:6" x14ac:dyDescent="0.25">
      <c r="E7" s="5" t="s">
        <v>262</v>
      </c>
      <c r="F7" s="3">
        <v>13475.180000000011</v>
      </c>
    </row>
  </sheetData>
  <pageMargins left="0.7" right="0.7" top="0.75" bottom="0.75" header="0.3" footer="0.3"/>
  <pageSetup orientation="portrait" horizontalDpi="1200" verticalDpi="12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D8D6C-E850-476C-8272-059CB27796F5}">
  <sheetPr>
    <tabColor rgb="FF00B050"/>
  </sheetPr>
  <dimension ref="E7:F18"/>
  <sheetViews>
    <sheetView workbookViewId="0">
      <selection activeCell="J6" sqref="J6"/>
    </sheetView>
  </sheetViews>
  <sheetFormatPr defaultRowHeight="15" x14ac:dyDescent="0.25"/>
  <cols>
    <col min="5" max="5" width="13.140625" bestFit="1" customWidth="1"/>
    <col min="6" max="6" width="16.7109375" bestFit="1" customWidth="1"/>
  </cols>
  <sheetData>
    <row r="7" spans="5:6" x14ac:dyDescent="0.25">
      <c r="E7" s="4" t="s">
        <v>258</v>
      </c>
      <c r="F7" t="s">
        <v>257</v>
      </c>
    </row>
    <row r="8" spans="5:6" x14ac:dyDescent="0.25">
      <c r="E8" s="5">
        <v>16029</v>
      </c>
      <c r="F8" s="3">
        <v>3702.12</v>
      </c>
    </row>
    <row r="9" spans="5:6" x14ac:dyDescent="0.25">
      <c r="E9" s="5">
        <v>17511</v>
      </c>
      <c r="F9" s="3">
        <v>1825.74</v>
      </c>
    </row>
    <row r="10" spans="5:6" x14ac:dyDescent="0.25">
      <c r="E10" s="5">
        <v>17850</v>
      </c>
      <c r="F10" s="3">
        <v>1101.8000000000002</v>
      </c>
    </row>
    <row r="11" spans="5:6" x14ac:dyDescent="0.25">
      <c r="E11" s="5">
        <v>13408</v>
      </c>
      <c r="F11" s="3">
        <v>1024.6800000000003</v>
      </c>
    </row>
    <row r="12" spans="5:6" x14ac:dyDescent="0.25">
      <c r="E12" s="5">
        <v>12583</v>
      </c>
      <c r="F12" s="3">
        <v>855.86</v>
      </c>
    </row>
    <row r="13" spans="5:6" x14ac:dyDescent="0.25">
      <c r="E13" s="5">
        <v>13767</v>
      </c>
      <c r="F13" s="3">
        <v>507.88000000000011</v>
      </c>
    </row>
    <row r="14" spans="5:6" x14ac:dyDescent="0.25">
      <c r="E14" s="5">
        <v>18074</v>
      </c>
      <c r="F14" s="3">
        <v>489.6</v>
      </c>
    </row>
    <row r="15" spans="5:6" x14ac:dyDescent="0.25">
      <c r="E15" s="5">
        <v>15311</v>
      </c>
      <c r="F15" s="3">
        <v>445.33</v>
      </c>
    </row>
    <row r="16" spans="5:6" x14ac:dyDescent="0.25">
      <c r="E16" s="5">
        <v>14688</v>
      </c>
      <c r="F16" s="3">
        <v>444.98</v>
      </c>
    </row>
    <row r="17" spans="5:6" x14ac:dyDescent="0.25">
      <c r="E17" s="5">
        <v>16098</v>
      </c>
      <c r="F17" s="3">
        <v>430.59999999999997</v>
      </c>
    </row>
    <row r="18" spans="5:6" x14ac:dyDescent="0.25">
      <c r="E18" s="5" t="s">
        <v>262</v>
      </c>
      <c r="F18" s="3">
        <v>10828.590000000002</v>
      </c>
    </row>
  </sheetData>
  <pageMargins left="0.7" right="0.7" top="0.75" bottom="0.75" header="0.3" footer="0.3"/>
  <pageSetup orientation="portrait" horizontalDpi="1200" verticalDpi="12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ACE27-63ED-489D-BE35-FDC5CA1DA841}">
  <sheetPr>
    <tabColor theme="0" tint="-0.249977111117893"/>
  </sheetPr>
  <dimension ref="F7:G18"/>
  <sheetViews>
    <sheetView workbookViewId="0">
      <selection activeCell="G7" sqref="F7:G18"/>
    </sheetView>
  </sheetViews>
  <sheetFormatPr defaultRowHeight="15" x14ac:dyDescent="0.25"/>
  <cols>
    <col min="6" max="6" width="35.7109375" bestFit="1" customWidth="1"/>
    <col min="7" max="7" width="15.42578125" bestFit="1" customWidth="1"/>
  </cols>
  <sheetData>
    <row r="7" spans="6:7" x14ac:dyDescent="0.25">
      <c r="F7" s="4" t="s">
        <v>258</v>
      </c>
      <c r="G7" t="s">
        <v>264</v>
      </c>
    </row>
    <row r="8" spans="6:7" x14ac:dyDescent="0.25">
      <c r="F8" s="5" t="s">
        <v>53</v>
      </c>
      <c r="G8" s="3">
        <v>458</v>
      </c>
    </row>
    <row r="9" spans="6:7" x14ac:dyDescent="0.25">
      <c r="F9" s="5" t="s">
        <v>177</v>
      </c>
      <c r="G9" s="3">
        <v>432</v>
      </c>
    </row>
    <row r="10" spans="6:7" x14ac:dyDescent="0.25">
      <c r="F10" s="5" t="s">
        <v>207</v>
      </c>
      <c r="G10" s="3">
        <v>288</v>
      </c>
    </row>
    <row r="11" spans="6:7" x14ac:dyDescent="0.25">
      <c r="F11" s="5" t="s">
        <v>173</v>
      </c>
      <c r="G11" s="3">
        <v>200</v>
      </c>
    </row>
    <row r="12" spans="6:7" x14ac:dyDescent="0.25">
      <c r="F12" s="5" t="s">
        <v>175</v>
      </c>
      <c r="G12" s="3">
        <v>192</v>
      </c>
    </row>
    <row r="13" spans="6:7" x14ac:dyDescent="0.25">
      <c r="F13" s="5" t="s">
        <v>263</v>
      </c>
      <c r="G13" s="3">
        <v>192</v>
      </c>
    </row>
    <row r="14" spans="6:7" x14ac:dyDescent="0.25">
      <c r="F14" s="5" t="s">
        <v>174</v>
      </c>
      <c r="G14" s="3">
        <v>192</v>
      </c>
    </row>
    <row r="15" spans="6:7" x14ac:dyDescent="0.25">
      <c r="F15" s="5" t="s">
        <v>237</v>
      </c>
      <c r="G15" s="3">
        <v>144</v>
      </c>
    </row>
    <row r="16" spans="6:7" x14ac:dyDescent="0.25">
      <c r="F16" s="5" t="s">
        <v>88</v>
      </c>
      <c r="G16" s="3">
        <v>144</v>
      </c>
    </row>
    <row r="17" spans="6:7" x14ac:dyDescent="0.25">
      <c r="F17" s="5" t="s">
        <v>205</v>
      </c>
      <c r="G17" s="3">
        <v>144</v>
      </c>
    </row>
    <row r="18" spans="6:7" x14ac:dyDescent="0.25">
      <c r="F18" s="5" t="s">
        <v>262</v>
      </c>
      <c r="G18" s="3">
        <v>2386</v>
      </c>
    </row>
  </sheetData>
  <pageMargins left="0.7" right="0.7" top="0.75" bottom="0.75" header="0.3" footer="0.3"/>
  <pageSetup orientation="portrait" horizontalDpi="1200" verticalDpi="12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D4C94-730C-4929-8333-9AE98D9C96D0}">
  <sheetPr>
    <tabColor rgb="FFC00000"/>
  </sheetPr>
  <dimension ref="E6:F10"/>
  <sheetViews>
    <sheetView workbookViewId="0">
      <selection activeCell="I9" sqref="I9"/>
    </sheetView>
  </sheetViews>
  <sheetFormatPr defaultRowHeight="15" x14ac:dyDescent="0.25"/>
  <cols>
    <col min="5" max="5" width="15.42578125" bestFit="1" customWidth="1"/>
    <col min="6" max="6" width="16.7109375" bestFit="1" customWidth="1"/>
  </cols>
  <sheetData>
    <row r="6" spans="5:6" x14ac:dyDescent="0.25">
      <c r="E6" s="4" t="s">
        <v>258</v>
      </c>
      <c r="F6" t="s">
        <v>257</v>
      </c>
    </row>
    <row r="7" spans="5:6" x14ac:dyDescent="0.25">
      <c r="E7" s="5" t="s">
        <v>188</v>
      </c>
      <c r="F7" s="3">
        <v>358.25</v>
      </c>
    </row>
    <row r="8" spans="5:6" x14ac:dyDescent="0.25">
      <c r="E8" s="5" t="s">
        <v>40</v>
      </c>
      <c r="F8" s="3">
        <v>855.86</v>
      </c>
    </row>
    <row r="9" spans="5:6" x14ac:dyDescent="0.25">
      <c r="E9" s="5" t="s">
        <v>10</v>
      </c>
      <c r="F9" s="3">
        <v>12261.069999999996</v>
      </c>
    </row>
    <row r="10" spans="5:6" x14ac:dyDescent="0.25">
      <c r="E10" s="5" t="s">
        <v>262</v>
      </c>
      <c r="F10" s="3">
        <v>13475.180000000011</v>
      </c>
    </row>
  </sheetData>
  <pageMargins left="0.7" right="0.7" top="0.75" bottom="0.75" header="0.3" footer="0.3"/>
  <pageSetup orientation="portrait" horizontalDpi="1200" verticalDpi="12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37B0F-01CE-4924-950E-2C11C1E67879}">
  <sheetPr>
    <tabColor rgb="FF00B0F0"/>
  </sheetPr>
  <dimension ref="F5:G16"/>
  <sheetViews>
    <sheetView workbookViewId="0">
      <selection activeCell="G5" sqref="F5:G16"/>
    </sheetView>
  </sheetViews>
  <sheetFormatPr defaultRowHeight="15" x14ac:dyDescent="0.25"/>
  <cols>
    <col min="6" max="6" width="37.28515625" bestFit="1" customWidth="1"/>
    <col min="7" max="7" width="16.7109375" bestFit="1" customWidth="1"/>
  </cols>
  <sheetData>
    <row r="5" spans="6:7" x14ac:dyDescent="0.25">
      <c r="F5" s="4" t="s">
        <v>258</v>
      </c>
      <c r="G5" t="s">
        <v>257</v>
      </c>
    </row>
    <row r="6" spans="6:7" x14ac:dyDescent="0.25">
      <c r="F6" s="5" t="s">
        <v>174</v>
      </c>
      <c r="G6" s="3">
        <v>733.43999999999994</v>
      </c>
    </row>
    <row r="7" spans="6:7" x14ac:dyDescent="0.25">
      <c r="F7" s="5" t="s">
        <v>263</v>
      </c>
      <c r="G7" s="3">
        <v>647.04</v>
      </c>
    </row>
    <row r="8" spans="6:7" x14ac:dyDescent="0.25">
      <c r="F8" s="5" t="s">
        <v>175</v>
      </c>
      <c r="G8" s="3">
        <v>647.04</v>
      </c>
    </row>
    <row r="9" spans="6:7" x14ac:dyDescent="0.25">
      <c r="F9" s="5" t="s">
        <v>177</v>
      </c>
      <c r="G9" s="3">
        <v>626.4</v>
      </c>
    </row>
    <row r="10" spans="6:7" x14ac:dyDescent="0.25">
      <c r="F10" s="5" t="s">
        <v>53</v>
      </c>
      <c r="G10" s="3">
        <v>582.9</v>
      </c>
    </row>
    <row r="11" spans="6:7" x14ac:dyDescent="0.25">
      <c r="F11" s="5" t="s">
        <v>72</v>
      </c>
      <c r="G11" s="3">
        <v>350.4</v>
      </c>
    </row>
    <row r="12" spans="6:7" x14ac:dyDescent="0.25">
      <c r="F12" s="5" t="s">
        <v>173</v>
      </c>
      <c r="G12" s="3">
        <v>330</v>
      </c>
    </row>
    <row r="13" spans="6:7" x14ac:dyDescent="0.25">
      <c r="F13" s="5" t="s">
        <v>9</v>
      </c>
      <c r="G13" s="3">
        <v>306</v>
      </c>
    </row>
    <row r="14" spans="6:7" x14ac:dyDescent="0.25">
      <c r="F14" s="5" t="s">
        <v>237</v>
      </c>
      <c r="G14" s="3">
        <v>278.40000000000003</v>
      </c>
    </row>
    <row r="15" spans="6:7" x14ac:dyDescent="0.25">
      <c r="F15" s="5" t="s">
        <v>152</v>
      </c>
      <c r="G15" s="3">
        <v>251.25000000000003</v>
      </c>
    </row>
    <row r="16" spans="6:7" x14ac:dyDescent="0.25">
      <c r="F16" s="5" t="s">
        <v>262</v>
      </c>
      <c r="G16" s="3">
        <v>4752.87</v>
      </c>
    </row>
  </sheetData>
  <pageMargins left="0.7" right="0.7" top="0.75" bottom="0.75" header="0.3" footer="0.3"/>
  <pageSetup orientation="portrait" horizontalDpi="1200" verticalDpi="12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BD07B-EECC-4B92-B131-B043C74F6C16}">
  <sheetPr>
    <tabColor rgb="FF990099"/>
    <pageSetUpPr fitToPage="1"/>
  </sheetPr>
  <dimension ref="F1:T6"/>
  <sheetViews>
    <sheetView showGridLines="0" tabSelected="1" zoomScale="96" zoomScaleNormal="96" workbookViewId="0">
      <selection activeCell="P48" sqref="P48"/>
    </sheetView>
  </sheetViews>
  <sheetFormatPr defaultRowHeight="15" x14ac:dyDescent="0.25"/>
  <cols>
    <col min="11" max="11" width="16.28515625" bestFit="1" customWidth="1"/>
    <col min="16" max="16" width="9" customWidth="1"/>
    <col min="19" max="19" width="16.28515625" bestFit="1" customWidth="1"/>
  </cols>
  <sheetData>
    <row r="1" spans="6:20" x14ac:dyDescent="0.25">
      <c r="F1" s="6"/>
      <c r="G1" s="6"/>
      <c r="H1" s="6"/>
      <c r="M1" s="6"/>
      <c r="N1" s="6"/>
      <c r="O1" s="6"/>
      <c r="P1" s="6"/>
      <c r="Q1" s="6"/>
      <c r="R1" s="6"/>
      <c r="S1" s="6"/>
      <c r="T1" s="6"/>
    </row>
    <row r="2" spans="6:20" x14ac:dyDescent="0.25"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6" spans="6:20" ht="33.75" x14ac:dyDescent="0.5">
      <c r="K6" s="8"/>
    </row>
  </sheetData>
  <pageMargins left="0.7" right="0.7" top="0.75" bottom="0.75" header="0.3" footer="0.3"/>
  <pageSetup scale="48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table1</vt:lpstr>
      <vt:lpstr>pivot</vt:lpstr>
      <vt:lpstr>hr</vt:lpstr>
      <vt:lpstr>id</vt:lpstr>
      <vt:lpstr>description-q</vt:lpstr>
      <vt:lpstr>country</vt:lpstr>
      <vt:lpstr>description-seals</vt:lpstr>
      <vt:lpstr>dasboard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</dc:creator>
  <cp:lastModifiedBy>toto202605@outlook.com</cp:lastModifiedBy>
  <cp:lastPrinted>2026-05-05T14:04:15Z</cp:lastPrinted>
  <dcterms:created xsi:type="dcterms:W3CDTF">2015-06-05T18:17:20Z</dcterms:created>
  <dcterms:modified xsi:type="dcterms:W3CDTF">2026-05-05T14:05:40Z</dcterms:modified>
</cp:coreProperties>
</file>